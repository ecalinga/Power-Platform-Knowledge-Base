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f2b89d8d99646ef" /></Relationships>
</file>

<file path=xl/workbook.xml><?xml version="1.0" encoding="utf-8"?>
<x:workbook xmlns:x="http://schemas.openxmlformats.org/spreadsheetml/2006/main">
  <x:sheets>
    <x:sheet xmlns:r="http://schemas.openxmlformats.org/officeDocument/2006/relationships" name="Dashboard" sheetId="1" r:id="R183f5dac02c44782"/>
    <x:sheet xmlns:r="http://schemas.openxmlformats.org/officeDocument/2006/relationships" name="Application Tracker" sheetId="2" r:id="R6d82ca7dd8c2426d"/>
    <x:sheet xmlns:r="http://schemas.openxmlformats.org/officeDocument/2006/relationships" name="Fit Scoring" sheetId="3" r:id="R7f9a67bcd24e4d39"/>
    <x:sheet xmlns:r="http://schemas.openxmlformats.org/officeDocument/2006/relationships" name="Question Bank" sheetId="4" r:id="R1105e81fecf94f72"/>
    <x:sheet xmlns:r="http://schemas.openxmlformats.org/officeDocument/2006/relationships" name="Templates" sheetId="5" r:id="R3b3b117382714d2e"/>
    <x:sheet xmlns:r="http://schemas.openxmlformats.org/officeDocument/2006/relationships" name="Settings" sheetId="6" r:id="Rf831bd51cd4e4061"/>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
    <x:numFmt numFmtId="201" formatCode="yyyy-mm-dd"/>
    <x:numFmt numFmtId="202" formatCode="0%"/>
  </x:numFmts>
  <x:fonts count="4">
    <x:font>
      <x:sz val="11"/>
      <x:name val="Carlito"/>
    </x:font>
    <x:font>
      <x:b/>
      <x:sz val="11"/>
      <x:color rgb="FFFFFFFF"/>
      <x:name val="Carlito"/>
    </x:font>
    <x:font>
      <x:b/>
      <x:sz val="11"/>
      <x:color rgb="FF172033"/>
      <x:name val="Carlito"/>
    </x:font>
    <x:font>
      <x:sz val="11"/>
      <x:color rgb="FF172033"/>
      <x:name val="Carlito"/>
    </x:font>
  </x:fonts>
  <x:fills count="5">
    <x:fill>
      <x:patternFill patternType="none"/>
    </x:fill>
    <x:fill>
      <x:patternFill patternType="gray125"/>
    </x:fill>
    <x:fill>
      <x:patternFill patternType="solid">
        <x:fgColor rgb="FF1E3A5F"/>
      </x:patternFill>
    </x:fill>
    <x:fill>
      <x:patternFill patternType="solid">
        <x:fgColor rgb="FF0E7C7B"/>
      </x:patternFill>
    </x:fill>
    <x:fill>
      <x:patternFill patternType="solid">
        <x:fgColor rgb="FFF4F6F8"/>
      </x:patternFill>
    </x:fill>
  </x:fills>
  <x:borders count="1">
    <x:border/>
  </x:borders>
  <x:cellStyleXfs count="1">
    <x:xf numFmtId="0" fontId="0" fillId="0" borderId="0"/>
  </x:cellStyleXfs>
  <x:cellXfs count="28">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3" borderId="0" xfId="0" applyNumberFormat="1" applyFont="1" applyFill="1" applyBorder="1"/>
    <x:xf numFmtId="0" fontId="1" fillId="3" borderId="0" xfId="0" applyNumberFormat="1" applyFont="1" applyFill="1" applyBorder="1"/>
    <x:xf numFmtId="0" fontId="1" fillId="3" borderId="0" xfId="0" applyNumberFormat="1" applyFont="1" applyFill="1" applyBorder="1" applyAlignment="1">
      <x:alignment wrapText="1"/>
    </x:xf>
    <x:xf numFmtId="0" fontId="1" fillId="3" borderId="0" xfId="0" applyNumberFormat="1" applyFont="1" applyFill="1" applyBorder="1" applyAlignment="1">
      <x:alignment horizontal="center" wrapText="1"/>
    </x:xf>
    <x:xf numFmtId="0" fontId="1" fillId="3" borderId="0" xfId="0" applyNumberFormat="1" applyFont="1" applyFill="1" applyBorder="1" applyAlignment="1">
      <x:alignment horizontal="center" vertical="center" wrapText="1"/>
    </x:xf>
    <x:xf numFmtId="200" fontId="0" fillId="0" borderId="0" xfId="0" applyNumberFormat="1" applyFont="1" applyFill="1" applyBorder="1"/>
    <x:xf numFmtId="0" fontId="2" fillId="2" borderId="0" xfId="0" applyNumberFormat="1" applyFont="1" applyFill="1" applyBorder="1" applyAlignment="1">
      <x:alignment horizontal="center" vertical="center"/>
    </x:xf>
    <x:xf numFmtId="0" fontId="3" fillId="0" borderId="0" xfId="0" applyNumberFormat="1" applyFont="1" applyFill="1" applyBorder="1"/>
    <x:xf numFmtId="0" fontId="2" fillId="3" borderId="0" xfId="0" applyNumberFormat="1" applyFont="1" applyFill="1" applyBorder="1" applyAlignment="1">
      <x:alignment horizontal="center" vertical="center" wrapText="1"/>
    </x:xf>
    <x:xf numFmtId="200" fontId="3" fillId="0" borderId="0" xfId="0" applyNumberFormat="1" applyFont="1" applyFill="1" applyBorder="1"/>
    <x:xf numFmtId="201" fontId="0" fillId="0" borderId="0" xfId="0" applyNumberFormat="1" applyFont="1" applyFill="1" applyBorder="1"/>
    <x:xf numFmtId="201" fontId="0" fillId="0" borderId="0" xfId="0" applyNumberFormat="1" applyFont="1" applyFill="1" applyBorder="1" applyAlignment="1">
      <x:alignment wrapText="1"/>
    </x:xf>
    <x:xf numFmtId="0" fontId="0" fillId="0" borderId="0" xfId="0" applyNumberFormat="1" applyFont="1" applyFill="1" applyBorder="1" applyAlignment="1">
      <x:alignment wrapText="1"/>
    </x:xf>
    <x:xf numFmtId="200" fontId="0" fillId="0" borderId="0" xfId="0" applyNumberFormat="1" applyFont="1" applyFill="1" applyBorder="1" applyAlignment="1">
      <x:alignment wrapText="1"/>
    </x:xf>
    <x:xf numFmtId="202" fontId="0" fillId="0"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top" wrapText="1"/>
    </x:xf>
    <x:xf numFmtId="202" fontId="3" fillId="0" borderId="0" xfId="0" applyNumberFormat="1" applyFont="1" applyFill="1" applyBorder="1"/>
    <x:xf numFmtId="201" fontId="3" fillId="0" borderId="0" xfId="0" applyNumberFormat="1" applyFont="1" applyFill="1" applyBorder="1" applyAlignment="1">
      <x:alignment wrapText="1"/>
    </x:xf>
    <x:xf numFmtId="0" fontId="3" fillId="0" borderId="0" xfId="0" applyNumberFormat="1" applyFont="1" applyFill="1" applyBorder="1" applyAlignment="1">
      <x:alignment wrapText="1"/>
    </x:xf>
    <x:xf numFmtId="200" fontId="3" fillId="0"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82d9a1cf9aa4472" /><Relationship Type="http://schemas.openxmlformats.org/officeDocument/2006/relationships/theme" Target="/xl/theme/theme1.xml" Id="Rf83c7ce614784304" /><Relationship Type="http://schemas.openxmlformats.org/officeDocument/2006/relationships/sharedStrings" Target="/xl/sharedStrings.xml" Id="R90e6d0c2ea4e474e" /><Relationship Type="http://schemas.openxmlformats.org/officeDocument/2006/relationships/worksheet" Target="/xl/worksheets/sheet1.xml" Id="R183f5dac02c44782" /><Relationship Type="http://schemas.openxmlformats.org/officeDocument/2006/relationships/worksheet" Target="/xl/worksheets/sheet2.xml" Id="R6d82ca7dd8c2426d" /><Relationship Type="http://schemas.openxmlformats.org/officeDocument/2006/relationships/worksheet" Target="/xl/worksheets/sheet3.xml" Id="R7f9a67bcd24e4d39" /><Relationship Type="http://schemas.openxmlformats.org/officeDocument/2006/relationships/worksheet" Target="/xl/worksheets/sheet4.xml" Id="R1105e81fecf94f72" /><Relationship Type="http://schemas.openxmlformats.org/officeDocument/2006/relationships/worksheet" Target="/xl/worksheets/sheet5.xml" Id="R3b3b117382714d2e" /><Relationship Type="http://schemas.openxmlformats.org/officeDocument/2006/relationships/worksheet" Target="/xl/worksheets/sheet6.xml" Id="Rf831bd51cd4e4061" /></Relationships>
</file>

<file path=xl/tables/table1.xml><?xml version="1.0" encoding="utf-8"?>
<x:table xmlns:x="http://schemas.openxmlformats.org/spreadsheetml/2006/main" id="1" name="ApplicationsTable" displayName="ApplicationsTable" ref="A3:Q203" headerRowCount="1">
  <x:tableColumns count="17">
    <x:tableColumn id="1" name="Date Found"/>
    <x:tableColumn id="2" name="Company"/>
    <x:tableColumn id="3" name="Role"/>
    <x:tableColumn id="4" name="Job Link"/>
    <x:tableColumn id="5" name="Location"/>
    <x:tableColumn id="6" name="Work Model"/>
    <x:tableColumn id="7" name="Salary Range"/>
    <x:tableColumn id="8" name="Deadline"/>
    <x:tableColumn id="9" name="Status"/>
    <x:tableColumn id="10" name="Priority"/>
    <x:tableColumn id="11" name="Fit Score"/>
    <x:tableColumn id="12" name="Resume Version"/>
    <x:tableColumn id="13" name="Cover Letter"/>
    <x:tableColumn id="14" name="Applied Date"/>
    <x:tableColumn id="15" name="Follow-up Date"/>
    <x:tableColumn id="16" name="Contact"/>
    <x:tableColumn id="17" name="Notes / Next Action"/>
  </x:tableColumns>
  <x:tableStyleInfo name="TableStyleMedium2" showRowStripes="1"/>
</x:table>
</file>

<file path=xl/tables/table2.xml><?xml version="1.0" encoding="utf-8"?>
<x:table xmlns:x="http://schemas.openxmlformats.org/spreadsheetml/2006/main" id="2" name="FitScoringTable" displayName="FitScoringTable" ref="A3:K203" headerRowCount="1">
  <x:tableColumns count="11">
    <x:tableColumn id="1" name="Lookup Key"/>
    <x:tableColumn id="2" name="Company"/>
    <x:tableColumn id="3" name="Role"/>
    <x:tableColumn id="4" name="Skills Match"/>
    <x:tableColumn id="5" name="Experience Match"/>
    <x:tableColumn id="6" name="Location / Work Model"/>
    <x:tableColumn id="7" name="Salary Alignment"/>
    <x:tableColumn id="8" name="Company Interest"/>
    <x:tableColumn id="9" name="Application Effort"/>
    <x:tableColumn id="10" name="Notes"/>
    <x:tableColumn id="11" name="Total Fit Score"/>
  </x:tableColumns>
  <x:tableStyleInfo name="TableStyleMedium2" showRowStripes="1"/>
</x:table>
</file>

<file path=xl/tables/table3.xml><?xml version="1.0" encoding="utf-8"?>
<x:table xmlns:x="http://schemas.openxmlformats.org/spreadsheetml/2006/main" id="3" name="QuestionBankTable" displayName="QuestionBankTable" ref="A3:F203" headerRowCount="1">
  <x:tableColumns count="6">
    <x:tableColumn id="1" name="Question Type"/>
    <x:tableColumn id="2" name="Prompt"/>
    <x:tableColumn id="3" name="Base Answer"/>
    <x:tableColumn id="4" name="Role-Specific Notes"/>
    <x:tableColumn id="5" name="Final Answer"/>
    <x:tableColumn id="6" name="Last Updated"/>
  </x:tableColumns>
  <x:tableStyleInfo name="TableStyleMedium2" showRowStripes="1"/>
</x:table>
</file>

<file path=xl/tables/table4.xml><?xml version="1.0" encoding="utf-8"?>
<x:table xmlns:x="http://schemas.openxmlformats.org/spreadsheetml/2006/main" id="4" name="TemplatesTable" displayName="TemplatesTable" ref="A3:D40" headerRowCount="1">
  <x:tableColumns count="4">
    <x:tableColumn id="1" name="Use Case"/>
    <x:tableColumn id="2" name="Subject / Heading"/>
    <x:tableColumn id="3" name="Template"/>
    <x:tableColumn id="4" name="Personalization Checklist"/>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fc052d407f6043c7" /></Relationships>
</file>

<file path=xl/worksheets/_rels/sheet3.xml.rels>&#65279;<?xml version="1.0" encoding="utf-8"?><Relationships xmlns="http://schemas.openxmlformats.org/package/2006/relationships"><Relationship Type="http://schemas.openxmlformats.org/officeDocument/2006/relationships/table" Target="/xl/tables/table2.xml" Id="Rc6393615f6364cdd" /></Relationships>
</file>

<file path=xl/worksheets/_rels/sheet4.xml.rels>&#65279;<?xml version="1.0" encoding="utf-8"?><Relationships xmlns="http://schemas.openxmlformats.org/package/2006/relationships"><Relationship Type="http://schemas.openxmlformats.org/officeDocument/2006/relationships/table" Target="/xl/tables/table3.xml" Id="R12bc41304bc94dc7" /></Relationships>
</file>

<file path=xl/worksheets/_rels/sheet5.xml.rels>&#65279;<?xml version="1.0" encoding="utf-8"?><Relationships xmlns="http://schemas.openxmlformats.org/package/2006/relationships"><Relationship Type="http://schemas.openxmlformats.org/officeDocument/2006/relationships/table" Target="/xl/tables/table4.xml" Id="Rc2adb1959833441c" /></Relationships>
</file>

<file path=xl/worksheets/sheet1.xml><?xml version="1.0" encoding="utf-8"?>
<x:worksheet xmlns:x="http://schemas.openxmlformats.org/spreadsheetml/2006/main">
  <x:sheetViews>
    <x:sheetView showGridLines="0" workbookViewId="0"/>
  </x:sheetViews>
  <x:sheetFormatPr defaultRowHeight="15"/>
  <x:cols>
    <x:col min="1" max="1" width="15.630000114440918" hidden="0" customWidth="1"/>
    <x:col min="2" max="2" width="15.630000114440918" hidden="0" customWidth="1"/>
    <x:col min="3" max="3" width="15.630000114440918" hidden="0" customWidth="1"/>
    <x:col min="4" max="4" width="15.630000114440918" hidden="0" customWidth="1"/>
    <x:col min="5" max="5" width="13.75" hidden="0" customWidth="1"/>
    <x:col min="6" max="6" width="13.75" hidden="0" customWidth="1"/>
    <x:col min="7" max="7" width="13.75" hidden="0" customWidth="1"/>
    <x:col min="8" max="8" width="13.75" hidden="0" customWidth="1"/>
    <x:col min="9" max="9" width="13.75" hidden="0" customWidth="1"/>
    <x:col min="10" max="10" width="13.75" hidden="0" customWidth="1"/>
  </x:cols>
  <x:sheetData>
    <x:row r="1" ht="25.5" customHeight="1">
      <x:c r="A1" s="11" t="str">
        <x:v>Job Application Dashboard</x:v>
      </x:c>
      <x:c r="B1" s="11"/>
      <x:c r="C1" s="11"/>
      <x:c r="D1" s="11"/>
      <x:c r="E1" s="11"/>
      <x:c r="F1" s="11"/>
      <x:c r="G1" s="11"/>
      <x:c r="H1" s="11"/>
      <x:c r="I1" s="11"/>
      <x:c r="J1" s="11"/>
    </x:row>
    <x:row r="2">
      <x:c r="A2" s="12"/>
      <x:c r="B2" s="12"/>
      <x:c r="C2" s="12"/>
      <x:c r="D2" s="12"/>
      <x:c r="E2" s="12"/>
      <x:c r="F2" s="12"/>
      <x:c r="G2" s="12"/>
      <x:c r="H2" s="12"/>
      <x:c r="I2" s="12"/>
      <x:c r="J2" s="12"/>
    </x:row>
    <x:row r="3">
      <x:c r="A3" s="13" t="str">
        <x:v>Metric</x:v>
      </x:c>
      <x:c r="B3" s="13" t="str">
        <x:v>Value</x:v>
      </x:c>
      <x:c r="C3" s="12"/>
      <x:c r="D3" s="12"/>
      <x:c r="E3" s="13" t="str">
        <x:v>Quick Workflow</x:v>
      </x:c>
      <x:c r="F3" s="13"/>
      <x:c r="G3" s="13"/>
      <x:c r="H3" s="13"/>
      <x:c r="I3" s="13"/>
      <x:c r="J3" s="13"/>
    </x:row>
    <x:row r="4">
      <x:c r="A4" s="12" t="str">
        <x:v>Total tracked</x:v>
      </x:c>
      <x:c r="B4" s="14" t="n">
        <x:f>COUNTIF('Application Tracker'!B4:B203,"&lt;&gt;")</x:f>
        <x:v>2</x:v>
      </x:c>
      <x:c r="C4" s="12"/>
      <x:c r="D4" s="12"/>
      <x:c r="E4" s="23" t="str">
        <x:v>1. Paste a job into Application Tracker.
2. Score it in Fit Scoring using the same company and role.
3. Tailor resume and cover letter using Question Bank and Templates.
4. Update status to Applied when submitted.
5. Use Follow-up Date to keep momentum.</x:v>
      </x:c>
      <x:c r="F4" s="23"/>
      <x:c r="G4" s="23"/>
      <x:c r="H4" s="23"/>
      <x:c r="I4" s="23"/>
      <x:c r="J4" s="23"/>
    </x:row>
    <x:row r="5">
      <x:c r="A5" s="12" t="str">
        <x:v>Ready to apply</x:v>
      </x:c>
      <x:c r="B5" s="14" t="n">
        <x:f>COUNTIF('Application Tracker'!I4:I203,"Ready to Apply")</x:f>
        <x:v>0</x:v>
      </x:c>
      <x:c r="C5" s="12"/>
      <x:c r="D5" s="12"/>
      <x:c r="E5" s="23"/>
      <x:c r="F5" s="23"/>
      <x:c r="G5" s="23"/>
      <x:c r="H5" s="23"/>
      <x:c r="I5" s="23"/>
      <x:c r="J5" s="23"/>
    </x:row>
    <x:row r="6">
      <x:c r="A6" s="12" t="str">
        <x:v>Applied</x:v>
      </x:c>
      <x:c r="B6" s="14" t="n">
        <x:f>COUNTIF('Application Tracker'!I4:I203,"Applied")</x:f>
        <x:v>0</x:v>
      </x:c>
      <x:c r="C6" s="12"/>
      <x:c r="D6" s="12"/>
      <x:c r="E6" s="23"/>
      <x:c r="F6" s="23"/>
      <x:c r="G6" s="23"/>
      <x:c r="H6" s="23"/>
      <x:c r="I6" s="23"/>
      <x:c r="J6" s="23"/>
    </x:row>
    <x:row r="7">
      <x:c r="A7" s="12" t="str">
        <x:v>Interviewing</x:v>
      </x:c>
      <x:c r="B7" s="14" t="n">
        <x:f>COUNTIF('Application Tracker'!I4:I203,"Interviewing")</x:f>
        <x:v>0</x:v>
      </x:c>
      <x:c r="C7" s="12"/>
      <x:c r="D7" s="12"/>
      <x:c r="E7" s="23"/>
      <x:c r="F7" s="23"/>
      <x:c r="G7" s="23"/>
      <x:c r="H7" s="23"/>
      <x:c r="I7" s="23"/>
      <x:c r="J7" s="23"/>
    </x:row>
    <x:row r="8">
      <x:c r="A8" s="12" t="str">
        <x:v>Average fit score</x:v>
      </x:c>
      <x:c r="B8" s="14" t="n">
        <x:f>IFERROR(AVERAGEIF('Application Tracker'!K4:K203,"&gt;0"),"")</x:f>
        <x:v>81</x:v>
      </x:c>
      <x:c r="C8" s="12"/>
      <x:c r="D8" s="12"/>
      <x:c r="E8" s="23"/>
      <x:c r="F8" s="23"/>
      <x:c r="G8" s="23"/>
      <x:c r="H8" s="23"/>
      <x:c r="I8" s="23"/>
      <x:c r="J8" s="23"/>
    </x:row>
    <x:row r="9">
      <x:c r="A9" s="12"/>
      <x:c r="B9" s="12"/>
      <x:c r="C9" s="12"/>
      <x:c r="D9" s="12"/>
      <x:c r="E9" s="23"/>
      <x:c r="F9" s="23"/>
      <x:c r="G9" s="23"/>
      <x:c r="H9" s="23"/>
      <x:c r="I9" s="23"/>
      <x:c r="J9" s="23"/>
    </x:row>
    <x:row r="10">
      <x:c r="A10" s="13" t="str">
        <x:v>Status</x:v>
      </x:c>
      <x:c r="B10" s="13" t="str">
        <x:v>Count</x:v>
      </x:c>
      <x:c r="C10" s="13" t="str">
        <x:v>Share</x:v>
      </x:c>
      <x:c r="D10" s="12"/>
      <x:c r="E10" s="23"/>
      <x:c r="F10" s="23"/>
      <x:c r="G10" s="23"/>
      <x:c r="H10" s="23"/>
      <x:c r="I10" s="23"/>
      <x:c r="J10" s="23"/>
    </x:row>
    <x:row r="11">
      <x:c r="A11" s="12" t="str">
        <x:v>Saved</x:v>
      </x:c>
      <x:c r="B11" s="12" t="n">
        <x:f>COUNTIF('Application Tracker'!I4:I203,A11)</x:f>
        <x:v>1</x:v>
      </x:c>
      <x:c r="C11" s="24" t="n">
        <x:f>IFERROR(B11/$B$4,0)</x:f>
        <x:v>0.5</x:v>
      </x:c>
      <x:c r="D11" s="12"/>
      <x:c r="E11" s="23"/>
      <x:c r="F11" s="23"/>
      <x:c r="G11" s="23"/>
      <x:c r="H11" s="23"/>
      <x:c r="I11" s="23"/>
      <x:c r="J11" s="23"/>
    </x:row>
    <x:row r="12">
      <x:c r="A12" s="12" t="str">
        <x:v>Tailor Resume</x:v>
      </x:c>
      <x:c r="B12" s="12" t="n">
        <x:f>COUNTIF('Application Tracker'!I4:I203,A12)</x:f>
        <x:v>1</x:v>
      </x:c>
      <x:c r="C12" s="24" t="n">
        <x:f>IFERROR(B12/$B$4,0)</x:f>
        <x:v>0.5</x:v>
      </x:c>
      <x:c r="D12" s="12"/>
      <x:c r="E12" s="12"/>
      <x:c r="F12" s="12"/>
      <x:c r="G12" s="12"/>
      <x:c r="H12" s="12"/>
      <x:c r="I12" s="12"/>
      <x:c r="J12" s="12"/>
    </x:row>
    <x:row r="13">
      <x:c r="A13" s="12" t="str">
        <x:v>Ready to Apply</x:v>
      </x:c>
      <x:c r="B13" s="12" t="n">
        <x:f>COUNTIF('Application Tracker'!I4:I203,A13)</x:f>
        <x:v>0</x:v>
      </x:c>
      <x:c r="C13" s="24" t="n">
        <x:f>IFERROR(B13/$B$4,0)</x:f>
        <x:v>0</x:v>
      </x:c>
      <x:c r="D13" s="12"/>
      <x:c r="E13" s="13" t="str">
        <x:v>Next automations we can add</x:v>
      </x:c>
      <x:c r="F13" s="13"/>
      <x:c r="G13" s="13"/>
      <x:c r="H13" s="13"/>
      <x:c r="I13" s="13"/>
      <x:c r="J13" s="13"/>
    </x:row>
    <x:row r="14">
      <x:c r="A14" s="12" t="str">
        <x:v>Applied</x:v>
      </x:c>
      <x:c r="B14" s="12" t="n">
        <x:f>COUNTIF('Application Tracker'!I4:I203,A14)</x:f>
        <x:v>0</x:v>
      </x:c>
      <x:c r="C14" s="24" t="n">
        <x:f>IFERROR(B14/$B$4,0)</x:f>
        <x:v>0</x:v>
      </x:c>
      <x:c r="D14" s="12"/>
      <x:c r="E14" s="23" t="str">
        <x:v>- Paste a job ad and auto-generate a resume keyword list.
- Draft cover letters and recruiter emails from rows.
- Search Gmail for recruiter replies and update statuses.
- Add job-board import once you choose the sites.</x:v>
      </x:c>
      <x:c r="F14" s="23"/>
      <x:c r="G14" s="23"/>
      <x:c r="H14" s="23"/>
      <x:c r="I14" s="23"/>
      <x:c r="J14" s="23"/>
    </x:row>
    <x:row r="15">
      <x:c r="A15" s="12" t="str">
        <x:v>Interviewing</x:v>
      </x:c>
      <x:c r="B15" s="12" t="n">
        <x:f>COUNTIF('Application Tracker'!I4:I203,A15)</x:f>
        <x:v>0</x:v>
      </x:c>
      <x:c r="C15" s="24" t="n">
        <x:f>IFERROR(B15/$B$4,0)</x:f>
        <x:v>0</x:v>
      </x:c>
      <x:c r="D15" s="12"/>
      <x:c r="E15" s="23"/>
      <x:c r="F15" s="23"/>
      <x:c r="G15" s="23"/>
      <x:c r="H15" s="23"/>
      <x:c r="I15" s="23"/>
      <x:c r="J15" s="23"/>
    </x:row>
    <x:row r="16">
      <x:c r="A16" s="12" t="str">
        <x:v>Offer</x:v>
      </x:c>
      <x:c r="B16" s="12" t="n">
        <x:f>COUNTIF('Application Tracker'!I4:I203,A16)</x:f>
        <x:v>0</x:v>
      </x:c>
      <x:c r="C16" s="24" t="n">
        <x:f>IFERROR(B16/$B$4,0)</x:f>
        <x:v>0</x:v>
      </x:c>
      <x:c r="D16" s="12"/>
      <x:c r="E16" s="23"/>
      <x:c r="F16" s="23"/>
      <x:c r="G16" s="23"/>
      <x:c r="H16" s="23"/>
      <x:c r="I16" s="23"/>
      <x:c r="J16" s="23"/>
    </x:row>
    <x:row r="17">
      <x:c r="A17" s="12" t="str">
        <x:v>Rejected</x:v>
      </x:c>
      <x:c r="B17" s="12" t="n">
        <x:f>COUNTIF('Application Tracker'!I4:I203,A17)</x:f>
        <x:v>0</x:v>
      </x:c>
      <x:c r="C17" s="24" t="n">
        <x:f>IFERROR(B17/$B$4,0)</x:f>
        <x:v>0</x:v>
      </x:c>
      <x:c r="D17" s="12"/>
      <x:c r="E17" s="23"/>
      <x:c r="F17" s="23"/>
      <x:c r="G17" s="23"/>
      <x:c r="H17" s="23"/>
      <x:c r="I17" s="23"/>
      <x:c r="J17" s="23"/>
    </x:row>
    <x:row r="18">
      <x:c r="A18" s="12" t="str">
        <x:v>Follow Up</x:v>
      </x:c>
      <x:c r="B18" s="12" t="n">
        <x:f>COUNTIF('Application Tracker'!I4:I203,A18)</x:f>
        <x:v>0</x:v>
      </x:c>
      <x:c r="C18" s="24" t="n">
        <x:f>IFERROR(B18/$B$4,0)</x:f>
        <x:v>0</x:v>
      </x:c>
      <x:c r="D18" s="12"/>
      <x:c r="E18" s="23"/>
      <x:c r="F18" s="23"/>
      <x:c r="G18" s="23"/>
      <x:c r="H18" s="23"/>
      <x:c r="I18" s="23"/>
      <x:c r="J18" s="23"/>
    </x:row>
    <x:row r="19">
      <x:c r="A19" s="12"/>
      <x:c r="B19" s="12"/>
      <x:c r="C19" s="12"/>
      <x:c r="D19" s="12"/>
      <x:c r="E19" s="23"/>
      <x:c r="F19" s="23"/>
      <x:c r="G19" s="23"/>
      <x:c r="H19" s="23"/>
      <x:c r="I19" s="23"/>
      <x:c r="J19" s="23"/>
    </x:row>
    <x:row r="20">
      <x:c r="A20" s="12"/>
      <x:c r="B20" s="12"/>
      <x:c r="C20" s="12"/>
      <x:c r="D20" s="12"/>
      <x:c r="E20" s="12"/>
      <x:c r="F20" s="12"/>
      <x:c r="G20" s="12"/>
      <x:c r="H20" s="12"/>
      <x:c r="I20" s="12"/>
      <x:c r="J20" s="12"/>
    </x:row>
    <x:row r="21">
      <x:c r="A21" s="12"/>
      <x:c r="B21" s="12"/>
      <x:c r="C21" s="12"/>
      <x:c r="D21" s="12"/>
      <x:c r="E21" s="12"/>
      <x:c r="F21" s="12"/>
      <x:c r="G21" s="12"/>
      <x:c r="H21" s="12"/>
      <x:c r="I21" s="12"/>
      <x:c r="J21" s="12"/>
    </x:row>
    <x:row r="22">
      <x:c r="A22" s="12"/>
      <x:c r="B22" s="12"/>
      <x:c r="C22" s="12"/>
      <x:c r="D22" s="12"/>
      <x:c r="E22" s="12"/>
      <x:c r="F22" s="12"/>
      <x:c r="G22" s="12"/>
      <x:c r="H22" s="12"/>
      <x:c r="I22" s="12"/>
      <x:c r="J22" s="12"/>
    </x:row>
    <x:row r="23">
      <x:c r="A23" s="12"/>
      <x:c r="B23" s="12"/>
      <x:c r="C23" s="12"/>
      <x:c r="D23" s="12"/>
      <x:c r="E23" s="12"/>
      <x:c r="F23" s="12"/>
      <x:c r="G23" s="12"/>
      <x:c r="H23" s="12"/>
      <x:c r="I23" s="12"/>
      <x:c r="J23" s="12"/>
    </x:row>
    <x:row r="24">
      <x:c r="A24" s="12"/>
      <x:c r="B24" s="12"/>
      <x:c r="C24" s="12"/>
      <x:c r="D24" s="12"/>
      <x:c r="E24" s="12"/>
      <x:c r="F24" s="12"/>
      <x:c r="G24" s="12"/>
      <x:c r="H24" s="12"/>
      <x:c r="I24" s="12"/>
      <x:c r="J24" s="12"/>
    </x:row>
    <x:row r="25">
      <x:c r="A25" s="12"/>
      <x:c r="B25" s="12"/>
      <x:c r="C25" s="12"/>
      <x:c r="D25" s="12"/>
      <x:c r="E25" s="12"/>
      <x:c r="F25" s="12"/>
      <x:c r="G25" s="12"/>
      <x:c r="H25" s="12"/>
      <x:c r="I25" s="12"/>
      <x:c r="J25" s="12"/>
    </x:row>
  </x:sheetData>
  <x:mergeCells>
    <x:mergeCell ref="A1:J1"/>
    <x:mergeCell ref="E3:J3"/>
    <x:mergeCell ref="E4:J11"/>
    <x:mergeCell ref="E13:J13"/>
    <x:mergeCell ref="E14:J19"/>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5.630000114440918" hidden="0" customWidth="1"/>
    <x:col min="2" max="2" width="15.630000114440918" hidden="0" customWidth="1"/>
    <x:col min="3" max="3" width="15.630000114440918" hidden="0" customWidth="1"/>
    <x:col min="4" max="4" width="26.25" hidden="0" customWidth="1"/>
    <x:col min="5" max="5" width="15.630000114440918" hidden="0" customWidth="1"/>
    <x:col min="6" max="6" width="15.630000114440918" hidden="0" customWidth="1"/>
    <x:col min="7" max="7" width="15.630000114440918" hidden="0" customWidth="1"/>
    <x:col min="8" max="8" width="15.630000114440918" hidden="0" customWidth="1"/>
    <x:col min="9" max="9" width="15.630000114440918" hidden="0" customWidth="1"/>
    <x:col min="10" max="10" width="15.630000114440918" hidden="0" customWidth="1"/>
    <x:col min="11" max="11" width="15.630000114440918" hidden="0" customWidth="1"/>
    <x:col min="12" max="12" width="15.630000114440918" hidden="0" customWidth="1"/>
    <x:col min="13" max="13" width="15.630000114440918" hidden="0" customWidth="1"/>
    <x:col min="14" max="14" width="15.630000114440918" hidden="0" customWidth="1"/>
    <x:col min="15" max="15" width="15.630000114440918" hidden="0" customWidth="1"/>
    <x:col min="16" max="16" width="15.630000114440918" hidden="0" customWidth="1"/>
    <x:col min="17" max="17" width="32.5" hidden="0" customWidth="1"/>
  </x:cols>
  <x:sheetData>
    <x:row r="1" ht="25.5" customHeight="1">
      <x:c r="A1" s="11" t="str">
        <x:v>Application Tracker</x:v>
      </x:c>
      <x:c r="B1" s="11"/>
      <x:c r="C1" s="11"/>
      <x:c r="D1" s="11"/>
      <x:c r="E1" s="11"/>
      <x:c r="F1" s="11"/>
      <x:c r="G1" s="11"/>
      <x:c r="H1" s="11"/>
      <x:c r="I1" s="11"/>
      <x:c r="J1" s="11"/>
      <x:c r="K1" s="11"/>
      <x:c r="L1" s="11"/>
      <x:c r="M1" s="11"/>
      <x:c r="N1" s="11"/>
      <x:c r="O1" s="11"/>
      <x:c r="P1" s="11"/>
      <x:c r="Q1" s="11"/>
    </x:row>
    <x:row r="2">
      <x:c r="A2" s="12"/>
      <x:c r="B2" s="12"/>
      <x:c r="C2" s="12"/>
      <x:c r="D2" s="12"/>
      <x:c r="E2" s="12"/>
      <x:c r="F2" s="12"/>
      <x:c r="G2" s="12"/>
      <x:c r="H2" s="12"/>
      <x:c r="I2" s="12"/>
      <x:c r="J2" s="12"/>
      <x:c r="K2" s="12"/>
      <x:c r="L2" s="12"/>
      <x:c r="M2" s="12"/>
      <x:c r="N2" s="12"/>
      <x:c r="O2" s="12"/>
      <x:c r="P2" s="12"/>
      <x:c r="Q2" s="12"/>
    </x:row>
    <x:row r="3">
      <x:c r="A3" s="13" t="str">
        <x:v>Date Found</x:v>
      </x:c>
      <x:c r="B3" s="13" t="str">
        <x:v>Company</x:v>
      </x:c>
      <x:c r="C3" s="13" t="str">
        <x:v>Role</x:v>
      </x:c>
      <x:c r="D3" s="13" t="str">
        <x:v>Job Link</x:v>
      </x:c>
      <x:c r="E3" s="13" t="str">
        <x:v>Location</x:v>
      </x:c>
      <x:c r="F3" s="13" t="str">
        <x:v>Work Model</x:v>
      </x:c>
      <x:c r="G3" s="13" t="str">
        <x:v>Salary Range</x:v>
      </x:c>
      <x:c r="H3" s="13" t="str">
        <x:v>Deadline</x:v>
      </x:c>
      <x:c r="I3" s="13" t="str">
        <x:v>Status</x:v>
      </x:c>
      <x:c r="J3" s="13" t="str">
        <x:v>Priority</x:v>
      </x:c>
      <x:c r="K3" s="13" t="str">
        <x:v>Fit Score</x:v>
      </x:c>
      <x:c r="L3" s="13" t="str">
        <x:v>Resume Version</x:v>
      </x:c>
      <x:c r="M3" s="13" t="str">
        <x:v>Cover Letter</x:v>
      </x:c>
      <x:c r="N3" s="13" t="str">
        <x:v>Applied Date</x:v>
      </x:c>
      <x:c r="O3" s="13" t="str">
        <x:v>Follow-up Date</x:v>
      </x:c>
      <x:c r="P3" s="13" t="str">
        <x:v>Contact</x:v>
      </x:c>
      <x:c r="Q3" s="13" t="str">
        <x:v>Notes / Next Action</x:v>
      </x:c>
    </x:row>
    <x:row r="4">
      <x:c r="A4" s="25" t="n">
        <x:v>46181</x:v>
      </x:c>
      <x:c r="B4" s="26" t="str">
        <x:v>Example Co</x:v>
      </x:c>
      <x:c r="C4" s="26" t="str">
        <x:v>Customer Support Specialist</x:v>
      </x:c>
      <x:c r="D4" s="26" t="str">
        <x:v>https://example.com/job</x:v>
      </x:c>
      <x:c r="E4" s="26" t="str">
        <x:v>Sydney</x:v>
      </x:c>
      <x:c r="F4" s="26" t="str">
        <x:v>Hybrid</x:v>
      </x:c>
      <x:c r="G4" s="26" t="str">
        <x:v>$70k-$85k</x:v>
      </x:c>
      <x:c r="H4" s="25" t="n">
        <x:v>46194</x:v>
      </x:c>
      <x:c r="I4" s="26" t="str">
        <x:v>Tailor Resume</x:v>
      </x:c>
      <x:c r="J4" s="26" t="str">
        <x:v>High</x:v>
      </x:c>
      <x:c r="K4" s="27" t="n">
        <x:f>IFERROR(VLOOKUP(B4&amp;"|"&amp;C4,'Fit Scoring'!$A$4:$K$203,11,FALSE),"")</x:f>
        <x:v>85</x:v>
      </x:c>
      <x:c r="L4" s="26" t="str">
        <x:v>Base resume + support keywords</x:v>
      </x:c>
      <x:c r="M4" s="26" t="str">
        <x:v>Draft needed</x:v>
      </x:c>
      <x:c r="N4" s="25" t="str"/>
      <x:c r="O4" s="25" t="str">
        <x:f>IF(N4&lt;&gt;"",N4+7,"")</x:f>
      </x:c>
      <x:c r="P4" s="26" t="str">
        <x:v>recruiter@example.com</x:v>
      </x:c>
      <x:c r="Q4" s="26" t="str">
        <x:v>Paste job ad into scoring sheet and tailor answers</x:v>
      </x:c>
    </x:row>
    <x:row r="5">
      <x:c r="A5" s="25" t="n">
        <x:v>46181</x:v>
      </x:c>
      <x:c r="B5" s="26" t="str">
        <x:v>Sample Labs</x:v>
      </x:c>
      <x:c r="C5" s="26" t="str">
        <x:v>Operations Coordinator</x:v>
      </x:c>
      <x:c r="D5" s="26" t="str">
        <x:v>https://example.com/job2</x:v>
      </x:c>
      <x:c r="E5" s="26" t="str">
        <x:v>Remote</x:v>
      </x:c>
      <x:c r="F5" s="26" t="str">
        <x:v>Remote</x:v>
      </x:c>
      <x:c r="G5" s="26" t="str">
        <x:v>$65k-$80k</x:v>
      </x:c>
      <x:c r="H5" s="25" t="n">
        <x:v>46201</x:v>
      </x:c>
      <x:c r="I5" s="26" t="str">
        <x:v>Saved</x:v>
      </x:c>
      <x:c r="J5" s="26" t="str">
        <x:v>Medium</x:v>
      </x:c>
      <x:c r="K5" s="27" t="n">
        <x:f>IFERROR(VLOOKUP(B5&amp;"|"&amp;C5,'Fit Scoring'!$A$4:$K$203,11,FALSE),"")</x:f>
        <x:v>77</x:v>
      </x:c>
      <x:c r="L5" s="26" t="str"/>
      <x:c r="M5" s="26" t="str"/>
      <x:c r="N5" s="25" t="str"/>
      <x:c r="O5" s="25" t="str">
        <x:f>IF(N5&lt;&gt;"",N5+7,"")</x:f>
      </x:c>
      <x:c r="P5" s="26" t="str"/>
      <x:c r="Q5" s="26" t="str">
        <x:v>Review fit before applying</x:v>
      </x:c>
    </x:row>
    <x:row r="6">
      <x:c r="A6" s="25"/>
      <x:c r="B6" s="26"/>
      <x:c r="C6" s="26"/>
      <x:c r="D6" s="26"/>
      <x:c r="E6" s="26"/>
      <x:c r="F6" s="26"/>
      <x:c r="G6" s="26"/>
      <x:c r="H6" s="25"/>
      <x:c r="I6" s="26"/>
      <x:c r="J6" s="26"/>
      <x:c r="K6" s="27" t="str">
        <x:f>IF(OR(B6="",C6=""),"",IFERROR(VLOOKUP(B6&amp;"|"&amp;C6,'Fit Scoring'!$A$4:$K$203,11,FALSE),""))</x:f>
      </x:c>
      <x:c r="L6" s="26"/>
      <x:c r="M6" s="26"/>
      <x:c r="N6" s="25"/>
      <x:c r="O6" s="25" t="str">
        <x:f>IF(N6&lt;&gt;"",N6+7,"")</x:f>
      </x:c>
      <x:c r="P6" s="26"/>
      <x:c r="Q6" s="26"/>
    </x:row>
    <x:row r="7">
      <x:c r="A7" s="25"/>
      <x:c r="B7" s="26"/>
      <x:c r="C7" s="26"/>
      <x:c r="D7" s="26"/>
      <x:c r="E7" s="26"/>
      <x:c r="F7" s="26"/>
      <x:c r="G7" s="26"/>
      <x:c r="H7" s="25"/>
      <x:c r="I7" s="26"/>
      <x:c r="J7" s="26"/>
      <x:c r="K7" s="27" t="str">
        <x:f>IF(OR(B7="",C7=""),"",IFERROR(VLOOKUP(B7&amp;"|"&amp;C7,'Fit Scoring'!$A$4:$K$203,11,FALSE),""))</x:f>
      </x:c>
      <x:c r="L7" s="26"/>
      <x:c r="M7" s="26"/>
      <x:c r="N7" s="25"/>
      <x:c r="O7" s="25" t="str">
        <x:f>IF(N7&lt;&gt;"",N7+7,"")</x:f>
      </x:c>
      <x:c r="P7" s="26"/>
      <x:c r="Q7" s="26"/>
    </x:row>
    <x:row r="8">
      <x:c r="A8" s="25"/>
      <x:c r="B8" s="26"/>
      <x:c r="C8" s="26"/>
      <x:c r="D8" s="26"/>
      <x:c r="E8" s="26"/>
      <x:c r="F8" s="26"/>
      <x:c r="G8" s="26"/>
      <x:c r="H8" s="25"/>
      <x:c r="I8" s="26"/>
      <x:c r="J8" s="26"/>
      <x:c r="K8" s="27" t="str">
        <x:f>IF(OR(B8="",C8=""),"",IFERROR(VLOOKUP(B8&amp;"|"&amp;C8,'Fit Scoring'!$A$4:$K$203,11,FALSE),""))</x:f>
      </x:c>
      <x:c r="L8" s="26"/>
      <x:c r="M8" s="26"/>
      <x:c r="N8" s="25"/>
      <x:c r="O8" s="25" t="str">
        <x:f>IF(N8&lt;&gt;"",N8+7,"")</x:f>
      </x:c>
      <x:c r="P8" s="26"/>
      <x:c r="Q8" s="26"/>
    </x:row>
    <x:row r="9">
      <x:c r="A9" s="25"/>
      <x:c r="B9" s="26"/>
      <x:c r="C9" s="26"/>
      <x:c r="D9" s="26"/>
      <x:c r="E9" s="26"/>
      <x:c r="F9" s="26"/>
      <x:c r="G9" s="26"/>
      <x:c r="H9" s="25"/>
      <x:c r="I9" s="26"/>
      <x:c r="J9" s="26"/>
      <x:c r="K9" s="27" t="str">
        <x:f>IF(OR(B9="",C9=""),"",IFERROR(VLOOKUP(B9&amp;"|"&amp;C9,'Fit Scoring'!$A$4:$K$203,11,FALSE),""))</x:f>
      </x:c>
      <x:c r="L9" s="26"/>
      <x:c r="M9" s="26"/>
      <x:c r="N9" s="25"/>
      <x:c r="O9" s="25" t="str">
        <x:f>IF(N9&lt;&gt;"",N9+7,"")</x:f>
      </x:c>
      <x:c r="P9" s="26"/>
      <x:c r="Q9" s="26"/>
    </x:row>
    <x:row r="10">
      <x:c r="A10" s="25"/>
      <x:c r="B10" s="26"/>
      <x:c r="C10" s="26"/>
      <x:c r="D10" s="26"/>
      <x:c r="E10" s="26"/>
      <x:c r="F10" s="26"/>
      <x:c r="G10" s="26"/>
      <x:c r="H10" s="25"/>
      <x:c r="I10" s="26"/>
      <x:c r="J10" s="26"/>
      <x:c r="K10" s="27" t="str">
        <x:f>IF(OR(B10="",C10=""),"",IFERROR(VLOOKUP(B10&amp;"|"&amp;C10,'Fit Scoring'!$A$4:$K$203,11,FALSE),""))</x:f>
      </x:c>
      <x:c r="L10" s="26"/>
      <x:c r="M10" s="26"/>
      <x:c r="N10" s="25"/>
      <x:c r="O10" s="25" t="str">
        <x:f>IF(N10&lt;&gt;"",N10+7,"")</x:f>
      </x:c>
      <x:c r="P10" s="26"/>
      <x:c r="Q10" s="26"/>
    </x:row>
    <x:row r="11">
      <x:c r="A11" s="25"/>
      <x:c r="B11" s="26"/>
      <x:c r="C11" s="26"/>
      <x:c r="D11" s="26"/>
      <x:c r="E11" s="26"/>
      <x:c r="F11" s="26"/>
      <x:c r="G11" s="26"/>
      <x:c r="H11" s="25"/>
      <x:c r="I11" s="26"/>
      <x:c r="J11" s="26"/>
      <x:c r="K11" s="27" t="str">
        <x:f>IF(OR(B11="",C11=""),"",IFERROR(VLOOKUP(B11&amp;"|"&amp;C11,'Fit Scoring'!$A$4:$K$203,11,FALSE),""))</x:f>
      </x:c>
      <x:c r="L11" s="26"/>
      <x:c r="M11" s="26"/>
      <x:c r="N11" s="25"/>
      <x:c r="O11" s="25" t="str">
        <x:f>IF(N11&lt;&gt;"",N11+7,"")</x:f>
      </x:c>
      <x:c r="P11" s="26"/>
      <x:c r="Q11" s="26"/>
    </x:row>
    <x:row r="12">
      <x:c r="A12" s="25"/>
      <x:c r="B12" s="26"/>
      <x:c r="C12" s="26"/>
      <x:c r="D12" s="26"/>
      <x:c r="E12" s="26"/>
      <x:c r="F12" s="26"/>
      <x:c r="G12" s="26"/>
      <x:c r="H12" s="25"/>
      <x:c r="I12" s="26"/>
      <x:c r="J12" s="26"/>
      <x:c r="K12" s="27" t="str">
        <x:f>IF(OR(B12="",C12=""),"",IFERROR(VLOOKUP(B12&amp;"|"&amp;C12,'Fit Scoring'!$A$4:$K$203,11,FALSE),""))</x:f>
      </x:c>
      <x:c r="L12" s="26"/>
      <x:c r="M12" s="26"/>
      <x:c r="N12" s="25"/>
      <x:c r="O12" s="25" t="str">
        <x:f>IF(N12&lt;&gt;"",N12+7,"")</x:f>
      </x:c>
      <x:c r="P12" s="26"/>
      <x:c r="Q12" s="26"/>
    </x:row>
    <x:row r="13">
      <x:c r="A13" s="25"/>
      <x:c r="B13" s="26"/>
      <x:c r="C13" s="26"/>
      <x:c r="D13" s="26"/>
      <x:c r="E13" s="26"/>
      <x:c r="F13" s="26"/>
      <x:c r="G13" s="26"/>
      <x:c r="H13" s="25"/>
      <x:c r="I13" s="26"/>
      <x:c r="J13" s="26"/>
      <x:c r="K13" s="27" t="str">
        <x:f>IF(OR(B13="",C13=""),"",IFERROR(VLOOKUP(B13&amp;"|"&amp;C13,'Fit Scoring'!$A$4:$K$203,11,FALSE),""))</x:f>
      </x:c>
      <x:c r="L13" s="26"/>
      <x:c r="M13" s="26"/>
      <x:c r="N13" s="25"/>
      <x:c r="O13" s="25" t="str">
        <x:f>IF(N13&lt;&gt;"",N13+7,"")</x:f>
      </x:c>
      <x:c r="P13" s="26"/>
      <x:c r="Q13" s="26"/>
    </x:row>
    <x:row r="14">
      <x:c r="A14" s="25"/>
      <x:c r="B14" s="26"/>
      <x:c r="C14" s="26"/>
      <x:c r="D14" s="26"/>
      <x:c r="E14" s="26"/>
      <x:c r="F14" s="26"/>
      <x:c r="G14" s="26"/>
      <x:c r="H14" s="25"/>
      <x:c r="I14" s="26"/>
      <x:c r="J14" s="26"/>
      <x:c r="K14" s="27" t="str">
        <x:f>IF(OR(B14="",C14=""),"",IFERROR(VLOOKUP(B14&amp;"|"&amp;C14,'Fit Scoring'!$A$4:$K$203,11,FALSE),""))</x:f>
      </x:c>
      <x:c r="L14" s="26"/>
      <x:c r="M14" s="26"/>
      <x:c r="N14" s="25"/>
      <x:c r="O14" s="25" t="str">
        <x:f>IF(N14&lt;&gt;"",N14+7,"")</x:f>
      </x:c>
      <x:c r="P14" s="26"/>
      <x:c r="Q14" s="26"/>
    </x:row>
    <x:row r="15">
      <x:c r="A15" s="25"/>
      <x:c r="B15" s="26"/>
      <x:c r="C15" s="26"/>
      <x:c r="D15" s="26"/>
      <x:c r="E15" s="26"/>
      <x:c r="F15" s="26"/>
      <x:c r="G15" s="26"/>
      <x:c r="H15" s="25"/>
      <x:c r="I15" s="26"/>
      <x:c r="J15" s="26"/>
      <x:c r="K15" s="27" t="str">
        <x:f>IF(OR(B15="",C15=""),"",IFERROR(VLOOKUP(B15&amp;"|"&amp;C15,'Fit Scoring'!$A$4:$K$203,11,FALSE),""))</x:f>
      </x:c>
      <x:c r="L15" s="26"/>
      <x:c r="M15" s="26"/>
      <x:c r="N15" s="25"/>
      <x:c r="O15" s="25" t="str">
        <x:f>IF(N15&lt;&gt;"",N15+7,"")</x:f>
      </x:c>
      <x:c r="P15" s="26"/>
      <x:c r="Q15" s="26"/>
    </x:row>
    <x:row r="16">
      <x:c r="A16" s="25"/>
      <x:c r="B16" s="26"/>
      <x:c r="C16" s="26"/>
      <x:c r="D16" s="26"/>
      <x:c r="E16" s="26"/>
      <x:c r="F16" s="26"/>
      <x:c r="G16" s="26"/>
      <x:c r="H16" s="25"/>
      <x:c r="I16" s="26"/>
      <x:c r="J16" s="26"/>
      <x:c r="K16" s="27" t="str">
        <x:f>IF(OR(B16="",C16=""),"",IFERROR(VLOOKUP(B16&amp;"|"&amp;C16,'Fit Scoring'!$A$4:$K$203,11,FALSE),""))</x:f>
      </x:c>
      <x:c r="L16" s="26"/>
      <x:c r="M16" s="26"/>
      <x:c r="N16" s="25"/>
      <x:c r="O16" s="25" t="str">
        <x:f>IF(N16&lt;&gt;"",N16+7,"")</x:f>
      </x:c>
      <x:c r="P16" s="26"/>
      <x:c r="Q16" s="26"/>
    </x:row>
    <x:row r="17">
      <x:c r="A17" s="25"/>
      <x:c r="B17" s="26"/>
      <x:c r="C17" s="26"/>
      <x:c r="D17" s="26"/>
      <x:c r="E17" s="26"/>
      <x:c r="F17" s="26"/>
      <x:c r="G17" s="26"/>
      <x:c r="H17" s="25"/>
      <x:c r="I17" s="26"/>
      <x:c r="J17" s="26"/>
      <x:c r="K17" s="27" t="str">
        <x:f>IF(OR(B17="",C17=""),"",IFERROR(VLOOKUP(B17&amp;"|"&amp;C17,'Fit Scoring'!$A$4:$K$203,11,FALSE),""))</x:f>
      </x:c>
      <x:c r="L17" s="26"/>
      <x:c r="M17" s="26"/>
      <x:c r="N17" s="25"/>
      <x:c r="O17" s="25" t="str">
        <x:f>IF(N17&lt;&gt;"",N17+7,"")</x:f>
      </x:c>
      <x:c r="P17" s="26"/>
      <x:c r="Q17" s="26"/>
    </x:row>
    <x:row r="18">
      <x:c r="A18" s="25"/>
      <x:c r="B18" s="26"/>
      <x:c r="C18" s="26"/>
      <x:c r="D18" s="26"/>
      <x:c r="E18" s="26"/>
      <x:c r="F18" s="26"/>
      <x:c r="G18" s="26"/>
      <x:c r="H18" s="25"/>
      <x:c r="I18" s="26"/>
      <x:c r="J18" s="26"/>
      <x:c r="K18" s="27" t="str">
        <x:f>IF(OR(B18="",C18=""),"",IFERROR(VLOOKUP(B18&amp;"|"&amp;C18,'Fit Scoring'!$A$4:$K$203,11,FALSE),""))</x:f>
      </x:c>
      <x:c r="L18" s="26"/>
      <x:c r="M18" s="26"/>
      <x:c r="N18" s="25"/>
      <x:c r="O18" s="25" t="str">
        <x:f>IF(N18&lt;&gt;"",N18+7,"")</x:f>
      </x:c>
      <x:c r="P18" s="26"/>
      <x:c r="Q18" s="26"/>
    </x:row>
    <x:row r="19">
      <x:c r="A19" s="25"/>
      <x:c r="B19" s="26"/>
      <x:c r="C19" s="26"/>
      <x:c r="D19" s="26"/>
      <x:c r="E19" s="26"/>
      <x:c r="F19" s="26"/>
      <x:c r="G19" s="26"/>
      <x:c r="H19" s="25"/>
      <x:c r="I19" s="26"/>
      <x:c r="J19" s="26"/>
      <x:c r="K19" s="27" t="str">
        <x:f>IF(OR(B19="",C19=""),"",IFERROR(VLOOKUP(B19&amp;"|"&amp;C19,'Fit Scoring'!$A$4:$K$203,11,FALSE),""))</x:f>
      </x:c>
      <x:c r="L19" s="26"/>
      <x:c r="M19" s="26"/>
      <x:c r="N19" s="25"/>
      <x:c r="O19" s="25" t="str">
        <x:f>IF(N19&lt;&gt;"",N19+7,"")</x:f>
      </x:c>
      <x:c r="P19" s="26"/>
      <x:c r="Q19" s="26"/>
    </x:row>
    <x:row r="20">
      <x:c r="A20" s="25"/>
      <x:c r="B20" s="26"/>
      <x:c r="C20" s="26"/>
      <x:c r="D20" s="26"/>
      <x:c r="E20" s="26"/>
      <x:c r="F20" s="26"/>
      <x:c r="G20" s="26"/>
      <x:c r="H20" s="25"/>
      <x:c r="I20" s="26"/>
      <x:c r="J20" s="26"/>
      <x:c r="K20" s="27" t="str">
        <x:f>IF(OR(B20="",C20=""),"",IFERROR(VLOOKUP(B20&amp;"|"&amp;C20,'Fit Scoring'!$A$4:$K$203,11,FALSE),""))</x:f>
      </x:c>
      <x:c r="L20" s="26"/>
      <x:c r="M20" s="26"/>
      <x:c r="N20" s="25"/>
      <x:c r="O20" s="25" t="str">
        <x:f>IF(N20&lt;&gt;"",N20+7,"")</x:f>
      </x:c>
      <x:c r="P20" s="26"/>
      <x:c r="Q20" s="26"/>
    </x:row>
    <x:row r="21">
      <x:c r="A21" s="25"/>
      <x:c r="B21" s="26"/>
      <x:c r="C21" s="26"/>
      <x:c r="D21" s="26"/>
      <x:c r="E21" s="26"/>
      <x:c r="F21" s="26"/>
      <x:c r="G21" s="26"/>
      <x:c r="H21" s="25"/>
      <x:c r="I21" s="26"/>
      <x:c r="J21" s="26"/>
      <x:c r="K21" s="27" t="str">
        <x:f>IF(OR(B21="",C21=""),"",IFERROR(VLOOKUP(B21&amp;"|"&amp;C21,'Fit Scoring'!$A$4:$K$203,11,FALSE),""))</x:f>
      </x:c>
      <x:c r="L21" s="26"/>
      <x:c r="M21" s="26"/>
      <x:c r="N21" s="25"/>
      <x:c r="O21" s="25" t="str">
        <x:f>IF(N21&lt;&gt;"",N21+7,"")</x:f>
      </x:c>
      <x:c r="P21" s="26"/>
      <x:c r="Q21" s="26"/>
    </x:row>
    <x:row r="22">
      <x:c r="A22" s="25"/>
      <x:c r="B22" s="26"/>
      <x:c r="C22" s="26"/>
      <x:c r="D22" s="26"/>
      <x:c r="E22" s="26"/>
      <x:c r="F22" s="26"/>
      <x:c r="G22" s="26"/>
      <x:c r="H22" s="25"/>
      <x:c r="I22" s="26"/>
      <x:c r="J22" s="26"/>
      <x:c r="K22" s="27" t="str">
        <x:f>IF(OR(B22="",C22=""),"",IFERROR(VLOOKUP(B22&amp;"|"&amp;C22,'Fit Scoring'!$A$4:$K$203,11,FALSE),""))</x:f>
      </x:c>
      <x:c r="L22" s="26"/>
      <x:c r="M22" s="26"/>
      <x:c r="N22" s="25"/>
      <x:c r="O22" s="25" t="str">
        <x:f>IF(N22&lt;&gt;"",N22+7,"")</x:f>
      </x:c>
      <x:c r="P22" s="26"/>
      <x:c r="Q22" s="26"/>
    </x:row>
    <x:row r="23">
      <x:c r="A23" s="25"/>
      <x:c r="B23" s="26"/>
      <x:c r="C23" s="26"/>
      <x:c r="D23" s="26"/>
      <x:c r="E23" s="26"/>
      <x:c r="F23" s="26"/>
      <x:c r="G23" s="26"/>
      <x:c r="H23" s="25"/>
      <x:c r="I23" s="26"/>
      <x:c r="J23" s="26"/>
      <x:c r="K23" s="27" t="str">
        <x:f>IF(OR(B23="",C23=""),"",IFERROR(VLOOKUP(B23&amp;"|"&amp;C23,'Fit Scoring'!$A$4:$K$203,11,FALSE),""))</x:f>
      </x:c>
      <x:c r="L23" s="26"/>
      <x:c r="M23" s="26"/>
      <x:c r="N23" s="25"/>
      <x:c r="O23" s="25" t="str">
        <x:f>IF(N23&lt;&gt;"",N23+7,"")</x:f>
      </x:c>
      <x:c r="P23" s="26"/>
      <x:c r="Q23" s="26"/>
    </x:row>
    <x:row r="24">
      <x:c r="A24" s="25"/>
      <x:c r="B24" s="26"/>
      <x:c r="C24" s="26"/>
      <x:c r="D24" s="26"/>
      <x:c r="E24" s="26"/>
      <x:c r="F24" s="26"/>
      <x:c r="G24" s="26"/>
      <x:c r="H24" s="25"/>
      <x:c r="I24" s="26"/>
      <x:c r="J24" s="26"/>
      <x:c r="K24" s="27" t="str">
        <x:f>IF(OR(B24="",C24=""),"",IFERROR(VLOOKUP(B24&amp;"|"&amp;C24,'Fit Scoring'!$A$4:$K$203,11,FALSE),""))</x:f>
      </x:c>
      <x:c r="L24" s="26"/>
      <x:c r="M24" s="26"/>
      <x:c r="N24" s="25"/>
      <x:c r="O24" s="25" t="str">
        <x:f>IF(N24&lt;&gt;"",N24+7,"")</x:f>
      </x:c>
      <x:c r="P24" s="26"/>
      <x:c r="Q24" s="26"/>
    </x:row>
    <x:row r="25">
      <x:c r="A25" s="25"/>
      <x:c r="B25" s="26"/>
      <x:c r="C25" s="26"/>
      <x:c r="D25" s="26"/>
      <x:c r="E25" s="26"/>
      <x:c r="F25" s="26"/>
      <x:c r="G25" s="26"/>
      <x:c r="H25" s="25"/>
      <x:c r="I25" s="26"/>
      <x:c r="J25" s="26"/>
      <x:c r="K25" s="27" t="str">
        <x:f>IF(OR(B25="",C25=""),"",IFERROR(VLOOKUP(B25&amp;"|"&amp;C25,'Fit Scoring'!$A$4:$K$203,11,FALSE),""))</x:f>
      </x:c>
      <x:c r="L25" s="26"/>
      <x:c r="M25" s="26"/>
      <x:c r="N25" s="25"/>
      <x:c r="O25" s="25" t="str">
        <x:f>IF(N25&lt;&gt;"",N25+7,"")</x:f>
      </x:c>
      <x:c r="P25" s="26"/>
      <x:c r="Q25" s="26"/>
    </x:row>
    <x:row r="26">
      <x:c r="A26" s="25"/>
      <x:c r="B26" s="26"/>
      <x:c r="C26" s="26"/>
      <x:c r="D26" s="26"/>
      <x:c r="E26" s="26"/>
      <x:c r="F26" s="26"/>
      <x:c r="G26" s="26"/>
      <x:c r="H26" s="25"/>
      <x:c r="I26" s="26"/>
      <x:c r="J26" s="26"/>
      <x:c r="K26" s="27" t="str">
        <x:f>IF(OR(B26="",C26=""),"",IFERROR(VLOOKUP(B26&amp;"|"&amp;C26,'Fit Scoring'!$A$4:$K$203,11,FALSE),""))</x:f>
      </x:c>
      <x:c r="L26" s="26"/>
      <x:c r="M26" s="26"/>
      <x:c r="N26" s="25"/>
      <x:c r="O26" s="25" t="str">
        <x:f>IF(N26&lt;&gt;"",N26+7,"")</x:f>
      </x:c>
      <x:c r="P26" s="26"/>
      <x:c r="Q26" s="26"/>
    </x:row>
    <x:row r="27">
      <x:c r="A27" s="25"/>
      <x:c r="B27" s="26"/>
      <x:c r="C27" s="26"/>
      <x:c r="D27" s="26"/>
      <x:c r="E27" s="26"/>
      <x:c r="F27" s="26"/>
      <x:c r="G27" s="26"/>
      <x:c r="H27" s="25"/>
      <x:c r="I27" s="26"/>
      <x:c r="J27" s="26"/>
      <x:c r="K27" s="27" t="str">
        <x:f>IF(OR(B27="",C27=""),"",IFERROR(VLOOKUP(B27&amp;"|"&amp;C27,'Fit Scoring'!$A$4:$K$203,11,FALSE),""))</x:f>
      </x:c>
      <x:c r="L27" s="26"/>
      <x:c r="M27" s="26"/>
      <x:c r="N27" s="25"/>
      <x:c r="O27" s="25" t="str">
        <x:f>IF(N27&lt;&gt;"",N27+7,"")</x:f>
      </x:c>
      <x:c r="P27" s="26"/>
      <x:c r="Q27" s="26"/>
    </x:row>
    <x:row r="28">
      <x:c r="A28" s="25"/>
      <x:c r="B28" s="26"/>
      <x:c r="C28" s="26"/>
      <x:c r="D28" s="26"/>
      <x:c r="E28" s="26"/>
      <x:c r="F28" s="26"/>
      <x:c r="G28" s="26"/>
      <x:c r="H28" s="25"/>
      <x:c r="I28" s="26"/>
      <x:c r="J28" s="26"/>
      <x:c r="K28" s="27" t="str">
        <x:f>IF(OR(B28="",C28=""),"",IFERROR(VLOOKUP(B28&amp;"|"&amp;C28,'Fit Scoring'!$A$4:$K$203,11,FALSE),""))</x:f>
      </x:c>
      <x:c r="L28" s="26"/>
      <x:c r="M28" s="26"/>
      <x:c r="N28" s="25"/>
      <x:c r="O28" s="25" t="str">
        <x:f>IF(N28&lt;&gt;"",N28+7,"")</x:f>
      </x:c>
      <x:c r="P28" s="26"/>
      <x:c r="Q28" s="26"/>
    </x:row>
    <x:row r="29">
      <x:c r="A29" s="25"/>
      <x:c r="B29" s="26"/>
      <x:c r="C29" s="26"/>
      <x:c r="D29" s="26"/>
      <x:c r="E29" s="26"/>
      <x:c r="F29" s="26"/>
      <x:c r="G29" s="26"/>
      <x:c r="H29" s="25"/>
      <x:c r="I29" s="26"/>
      <x:c r="J29" s="26"/>
      <x:c r="K29" s="27" t="str">
        <x:f>IF(OR(B29="",C29=""),"",IFERROR(VLOOKUP(B29&amp;"|"&amp;C29,'Fit Scoring'!$A$4:$K$203,11,FALSE),""))</x:f>
      </x:c>
      <x:c r="L29" s="26"/>
      <x:c r="M29" s="26"/>
      <x:c r="N29" s="25"/>
      <x:c r="O29" s="25" t="str">
        <x:f>IF(N29&lt;&gt;"",N29+7,"")</x:f>
      </x:c>
      <x:c r="P29" s="26"/>
      <x:c r="Q29" s="26"/>
    </x:row>
    <x:row r="30">
      <x:c r="A30" s="25"/>
      <x:c r="B30" s="26"/>
      <x:c r="C30" s="26"/>
      <x:c r="D30" s="26"/>
      <x:c r="E30" s="26"/>
      <x:c r="F30" s="26"/>
      <x:c r="G30" s="26"/>
      <x:c r="H30" s="25"/>
      <x:c r="I30" s="26"/>
      <x:c r="J30" s="26"/>
      <x:c r="K30" s="27" t="str">
        <x:f>IF(OR(B30="",C30=""),"",IFERROR(VLOOKUP(B30&amp;"|"&amp;C30,'Fit Scoring'!$A$4:$K$203,11,FALSE),""))</x:f>
      </x:c>
      <x:c r="L30" s="26"/>
      <x:c r="M30" s="26"/>
      <x:c r="N30" s="25"/>
      <x:c r="O30" s="25" t="str">
        <x:f>IF(N30&lt;&gt;"",N30+7,"")</x:f>
      </x:c>
      <x:c r="P30" s="26"/>
      <x:c r="Q30" s="26"/>
    </x:row>
    <x:row r="31">
      <x:c r="A31" s="25"/>
      <x:c r="B31" s="26"/>
      <x:c r="C31" s="26"/>
      <x:c r="D31" s="26"/>
      <x:c r="E31" s="26"/>
      <x:c r="F31" s="26"/>
      <x:c r="G31" s="26"/>
      <x:c r="H31" s="25"/>
      <x:c r="I31" s="26"/>
      <x:c r="J31" s="26"/>
      <x:c r="K31" s="27" t="str">
        <x:f>IF(OR(B31="",C31=""),"",IFERROR(VLOOKUP(B31&amp;"|"&amp;C31,'Fit Scoring'!$A$4:$K$203,11,FALSE),""))</x:f>
      </x:c>
      <x:c r="L31" s="26"/>
      <x:c r="M31" s="26"/>
      <x:c r="N31" s="25"/>
      <x:c r="O31" s="25" t="str">
        <x:f>IF(N31&lt;&gt;"",N31+7,"")</x:f>
      </x:c>
      <x:c r="P31" s="26"/>
      <x:c r="Q31" s="26"/>
    </x:row>
    <x:row r="32">
      <x:c r="A32" s="25"/>
      <x:c r="B32" s="26"/>
      <x:c r="C32" s="26"/>
      <x:c r="D32" s="26"/>
      <x:c r="E32" s="26"/>
      <x:c r="F32" s="26"/>
      <x:c r="G32" s="26"/>
      <x:c r="H32" s="25"/>
      <x:c r="I32" s="26"/>
      <x:c r="J32" s="26"/>
      <x:c r="K32" s="27" t="str">
        <x:f>IF(OR(B32="",C32=""),"",IFERROR(VLOOKUP(B32&amp;"|"&amp;C32,'Fit Scoring'!$A$4:$K$203,11,FALSE),""))</x:f>
      </x:c>
      <x:c r="L32" s="26"/>
      <x:c r="M32" s="26"/>
      <x:c r="N32" s="25"/>
      <x:c r="O32" s="25" t="str">
        <x:f>IF(N32&lt;&gt;"",N32+7,"")</x:f>
      </x:c>
      <x:c r="P32" s="26"/>
      <x:c r="Q32" s="26"/>
    </x:row>
    <x:row r="33">
      <x:c r="A33" s="25"/>
      <x:c r="B33" s="26"/>
      <x:c r="C33" s="26"/>
      <x:c r="D33" s="26"/>
      <x:c r="E33" s="26"/>
      <x:c r="F33" s="26"/>
      <x:c r="G33" s="26"/>
      <x:c r="H33" s="25"/>
      <x:c r="I33" s="26"/>
      <x:c r="J33" s="26"/>
      <x:c r="K33" s="27" t="str">
        <x:f>IF(OR(B33="",C33=""),"",IFERROR(VLOOKUP(B33&amp;"|"&amp;C33,'Fit Scoring'!$A$4:$K$203,11,FALSE),""))</x:f>
      </x:c>
      <x:c r="L33" s="26"/>
      <x:c r="M33" s="26"/>
      <x:c r="N33" s="25"/>
      <x:c r="O33" s="25" t="str">
        <x:f>IF(N33&lt;&gt;"",N33+7,"")</x:f>
      </x:c>
      <x:c r="P33" s="26"/>
      <x:c r="Q33" s="26"/>
    </x:row>
    <x:row r="34">
      <x:c r="A34" s="25"/>
      <x:c r="B34" s="26"/>
      <x:c r="C34" s="26"/>
      <x:c r="D34" s="26"/>
      <x:c r="E34" s="26"/>
      <x:c r="F34" s="26"/>
      <x:c r="G34" s="26"/>
      <x:c r="H34" s="25"/>
      <x:c r="I34" s="26"/>
      <x:c r="J34" s="26"/>
      <x:c r="K34" s="27" t="str">
        <x:f>IF(OR(B34="",C34=""),"",IFERROR(VLOOKUP(B34&amp;"|"&amp;C34,'Fit Scoring'!$A$4:$K$203,11,FALSE),""))</x:f>
      </x:c>
      <x:c r="L34" s="26"/>
      <x:c r="M34" s="26"/>
      <x:c r="N34" s="25"/>
      <x:c r="O34" s="25" t="str">
        <x:f>IF(N34&lt;&gt;"",N34+7,"")</x:f>
      </x:c>
      <x:c r="P34" s="26"/>
      <x:c r="Q34" s="26"/>
    </x:row>
    <x:row r="35">
      <x:c r="A35" s="25"/>
      <x:c r="B35" s="26"/>
      <x:c r="C35" s="26"/>
      <x:c r="D35" s="26"/>
      <x:c r="E35" s="26"/>
      <x:c r="F35" s="26"/>
      <x:c r="G35" s="26"/>
      <x:c r="H35" s="25"/>
      <x:c r="I35" s="26"/>
      <x:c r="J35" s="26"/>
      <x:c r="K35" s="27" t="str">
        <x:f>IF(OR(B35="",C35=""),"",IFERROR(VLOOKUP(B35&amp;"|"&amp;C35,'Fit Scoring'!$A$4:$K$203,11,FALSE),""))</x:f>
      </x:c>
      <x:c r="L35" s="26"/>
      <x:c r="M35" s="26"/>
      <x:c r="N35" s="25"/>
      <x:c r="O35" s="25" t="str">
        <x:f>IF(N35&lt;&gt;"",N35+7,"")</x:f>
      </x:c>
      <x:c r="P35" s="26"/>
      <x:c r="Q35" s="26"/>
    </x:row>
    <x:row r="36">
      <x:c r="A36" s="25"/>
      <x:c r="B36" s="26"/>
      <x:c r="C36" s="26"/>
      <x:c r="D36" s="26"/>
      <x:c r="E36" s="26"/>
      <x:c r="F36" s="26"/>
      <x:c r="G36" s="26"/>
      <x:c r="H36" s="25"/>
      <x:c r="I36" s="26"/>
      <x:c r="J36" s="26"/>
      <x:c r="K36" s="27" t="str">
        <x:f>IF(OR(B36="",C36=""),"",IFERROR(VLOOKUP(B36&amp;"|"&amp;C36,'Fit Scoring'!$A$4:$K$203,11,FALSE),""))</x:f>
      </x:c>
      <x:c r="L36" s="26"/>
      <x:c r="M36" s="26"/>
      <x:c r="N36" s="25"/>
      <x:c r="O36" s="25" t="str">
        <x:f>IF(N36&lt;&gt;"",N36+7,"")</x:f>
      </x:c>
      <x:c r="P36" s="26"/>
      <x:c r="Q36" s="26"/>
    </x:row>
    <x:row r="37">
      <x:c r="A37" s="25"/>
      <x:c r="B37" s="26"/>
      <x:c r="C37" s="26"/>
      <x:c r="D37" s="26"/>
      <x:c r="E37" s="26"/>
      <x:c r="F37" s="26"/>
      <x:c r="G37" s="26"/>
      <x:c r="H37" s="25"/>
      <x:c r="I37" s="26"/>
      <x:c r="J37" s="26"/>
      <x:c r="K37" s="27" t="str">
        <x:f>IF(OR(B37="",C37=""),"",IFERROR(VLOOKUP(B37&amp;"|"&amp;C37,'Fit Scoring'!$A$4:$K$203,11,FALSE),""))</x:f>
      </x:c>
      <x:c r="L37" s="26"/>
      <x:c r="M37" s="26"/>
      <x:c r="N37" s="25"/>
      <x:c r="O37" s="25" t="str">
        <x:f>IF(N37&lt;&gt;"",N37+7,"")</x:f>
      </x:c>
      <x:c r="P37" s="26"/>
      <x:c r="Q37" s="26"/>
    </x:row>
    <x:row r="38">
      <x:c r="A38" s="25"/>
      <x:c r="B38" s="26"/>
      <x:c r="C38" s="26"/>
      <x:c r="D38" s="26"/>
      <x:c r="E38" s="26"/>
      <x:c r="F38" s="26"/>
      <x:c r="G38" s="26"/>
      <x:c r="H38" s="25"/>
      <x:c r="I38" s="26"/>
      <x:c r="J38" s="26"/>
      <x:c r="K38" s="27" t="str">
        <x:f>IF(OR(B38="",C38=""),"",IFERROR(VLOOKUP(B38&amp;"|"&amp;C38,'Fit Scoring'!$A$4:$K$203,11,FALSE),""))</x:f>
      </x:c>
      <x:c r="L38" s="26"/>
      <x:c r="M38" s="26"/>
      <x:c r="N38" s="25"/>
      <x:c r="O38" s="25" t="str">
        <x:f>IF(N38&lt;&gt;"",N38+7,"")</x:f>
      </x:c>
      <x:c r="P38" s="26"/>
      <x:c r="Q38" s="26"/>
    </x:row>
    <x:row r="39">
      <x:c r="A39" s="25"/>
      <x:c r="B39" s="26"/>
      <x:c r="C39" s="26"/>
      <x:c r="D39" s="26"/>
      <x:c r="E39" s="26"/>
      <x:c r="F39" s="26"/>
      <x:c r="G39" s="26"/>
      <x:c r="H39" s="25"/>
      <x:c r="I39" s="26"/>
      <x:c r="J39" s="26"/>
      <x:c r="K39" s="27" t="str">
        <x:f>IF(OR(B39="",C39=""),"",IFERROR(VLOOKUP(B39&amp;"|"&amp;C39,'Fit Scoring'!$A$4:$K$203,11,FALSE),""))</x:f>
      </x:c>
      <x:c r="L39" s="26"/>
      <x:c r="M39" s="26"/>
      <x:c r="N39" s="25"/>
      <x:c r="O39" s="25" t="str">
        <x:f>IF(N39&lt;&gt;"",N39+7,"")</x:f>
      </x:c>
      <x:c r="P39" s="26"/>
      <x:c r="Q39" s="26"/>
    </x:row>
    <x:row r="40">
      <x:c r="A40" s="25"/>
      <x:c r="B40" s="26"/>
      <x:c r="C40" s="26"/>
      <x:c r="D40" s="26"/>
      <x:c r="E40" s="26"/>
      <x:c r="F40" s="26"/>
      <x:c r="G40" s="26"/>
      <x:c r="H40" s="25"/>
      <x:c r="I40" s="26"/>
      <x:c r="J40" s="26"/>
      <x:c r="K40" s="27" t="str">
        <x:f>IF(OR(B40="",C40=""),"",IFERROR(VLOOKUP(B40&amp;"|"&amp;C40,'Fit Scoring'!$A$4:$K$203,11,FALSE),""))</x:f>
      </x:c>
      <x:c r="L40" s="26"/>
      <x:c r="M40" s="26"/>
      <x:c r="N40" s="25"/>
      <x:c r="O40" s="25" t="str">
        <x:f>IF(N40&lt;&gt;"",N40+7,"")</x:f>
      </x:c>
      <x:c r="P40" s="26"/>
      <x:c r="Q40" s="26"/>
    </x:row>
    <x:row r="41">
      <x:c r="A41" s="25"/>
      <x:c r="B41" s="26"/>
      <x:c r="C41" s="26"/>
      <x:c r="D41" s="26"/>
      <x:c r="E41" s="26"/>
      <x:c r="F41" s="26"/>
      <x:c r="G41" s="26"/>
      <x:c r="H41" s="25"/>
      <x:c r="I41" s="26"/>
      <x:c r="J41" s="26"/>
      <x:c r="K41" s="27" t="str">
        <x:f>IF(OR(B41="",C41=""),"",IFERROR(VLOOKUP(B41&amp;"|"&amp;C41,'Fit Scoring'!$A$4:$K$203,11,FALSE),""))</x:f>
      </x:c>
      <x:c r="L41" s="26"/>
      <x:c r="M41" s="26"/>
      <x:c r="N41" s="25"/>
      <x:c r="O41" s="25" t="str">
        <x:f>IF(N41&lt;&gt;"",N41+7,"")</x:f>
      </x:c>
      <x:c r="P41" s="26"/>
      <x:c r="Q41" s="26"/>
    </x:row>
    <x:row r="42">
      <x:c r="A42" s="25"/>
      <x:c r="B42" s="26"/>
      <x:c r="C42" s="26"/>
      <x:c r="D42" s="26"/>
      <x:c r="E42" s="26"/>
      <x:c r="F42" s="26"/>
      <x:c r="G42" s="26"/>
      <x:c r="H42" s="25"/>
      <x:c r="I42" s="26"/>
      <x:c r="J42" s="26"/>
      <x:c r="K42" s="27" t="str">
        <x:f>IF(OR(B42="",C42=""),"",IFERROR(VLOOKUP(B42&amp;"|"&amp;C42,'Fit Scoring'!$A$4:$K$203,11,FALSE),""))</x:f>
      </x:c>
      <x:c r="L42" s="26"/>
      <x:c r="M42" s="26"/>
      <x:c r="N42" s="25"/>
      <x:c r="O42" s="25" t="str">
        <x:f>IF(N42&lt;&gt;"",N42+7,"")</x:f>
      </x:c>
      <x:c r="P42" s="26"/>
      <x:c r="Q42" s="26"/>
    </x:row>
    <x:row r="43">
      <x:c r="A43" s="25"/>
      <x:c r="B43" s="26"/>
      <x:c r="C43" s="26"/>
      <x:c r="D43" s="26"/>
      <x:c r="E43" s="26"/>
      <x:c r="F43" s="26"/>
      <x:c r="G43" s="26"/>
      <x:c r="H43" s="25"/>
      <x:c r="I43" s="26"/>
      <x:c r="J43" s="26"/>
      <x:c r="K43" s="27" t="str">
        <x:f>IF(OR(B43="",C43=""),"",IFERROR(VLOOKUP(B43&amp;"|"&amp;C43,'Fit Scoring'!$A$4:$K$203,11,FALSE),""))</x:f>
      </x:c>
      <x:c r="L43" s="26"/>
      <x:c r="M43" s="26"/>
      <x:c r="N43" s="25"/>
      <x:c r="O43" s="25" t="str">
        <x:f>IF(N43&lt;&gt;"",N43+7,"")</x:f>
      </x:c>
      <x:c r="P43" s="26"/>
      <x:c r="Q43" s="26"/>
    </x:row>
    <x:row r="44">
      <x:c r="A44" s="25"/>
      <x:c r="B44" s="26"/>
      <x:c r="C44" s="26"/>
      <x:c r="D44" s="26"/>
      <x:c r="E44" s="26"/>
      <x:c r="F44" s="26"/>
      <x:c r="G44" s="26"/>
      <x:c r="H44" s="25"/>
      <x:c r="I44" s="26"/>
      <x:c r="J44" s="26"/>
      <x:c r="K44" s="27" t="str">
        <x:f>IF(OR(B44="",C44=""),"",IFERROR(VLOOKUP(B44&amp;"|"&amp;C44,'Fit Scoring'!$A$4:$K$203,11,FALSE),""))</x:f>
      </x:c>
      <x:c r="L44" s="26"/>
      <x:c r="M44" s="26"/>
      <x:c r="N44" s="25"/>
      <x:c r="O44" s="25" t="str">
        <x:f>IF(N44&lt;&gt;"",N44+7,"")</x:f>
      </x:c>
      <x:c r="P44" s="26"/>
      <x:c r="Q44" s="26"/>
    </x:row>
    <x:row r="45">
      <x:c r="A45" s="25"/>
      <x:c r="B45" s="26"/>
      <x:c r="C45" s="26"/>
      <x:c r="D45" s="26"/>
      <x:c r="E45" s="26"/>
      <x:c r="F45" s="26"/>
      <x:c r="G45" s="26"/>
      <x:c r="H45" s="25"/>
      <x:c r="I45" s="26"/>
      <x:c r="J45" s="26"/>
      <x:c r="K45" s="27" t="str">
        <x:f>IF(OR(B45="",C45=""),"",IFERROR(VLOOKUP(B45&amp;"|"&amp;C45,'Fit Scoring'!$A$4:$K$203,11,FALSE),""))</x:f>
      </x:c>
      <x:c r="L45" s="26"/>
      <x:c r="M45" s="26"/>
      <x:c r="N45" s="25"/>
      <x:c r="O45" s="25" t="str">
        <x:f>IF(N45&lt;&gt;"",N45+7,"")</x:f>
      </x:c>
      <x:c r="P45" s="26"/>
      <x:c r="Q45" s="26"/>
    </x:row>
    <x:row r="46">
      <x:c r="A46" s="25"/>
      <x:c r="B46" s="26"/>
      <x:c r="C46" s="26"/>
      <x:c r="D46" s="26"/>
      <x:c r="E46" s="26"/>
      <x:c r="F46" s="26"/>
      <x:c r="G46" s="26"/>
      <x:c r="H46" s="25"/>
      <x:c r="I46" s="26"/>
      <x:c r="J46" s="26"/>
      <x:c r="K46" s="27" t="str">
        <x:f>IF(OR(B46="",C46=""),"",IFERROR(VLOOKUP(B46&amp;"|"&amp;C46,'Fit Scoring'!$A$4:$K$203,11,FALSE),""))</x:f>
      </x:c>
      <x:c r="L46" s="26"/>
      <x:c r="M46" s="26"/>
      <x:c r="N46" s="25"/>
      <x:c r="O46" s="25" t="str">
        <x:f>IF(N46&lt;&gt;"",N46+7,"")</x:f>
      </x:c>
      <x:c r="P46" s="26"/>
      <x:c r="Q46" s="26"/>
    </x:row>
    <x:row r="47">
      <x:c r="A47" s="25"/>
      <x:c r="B47" s="26"/>
      <x:c r="C47" s="26"/>
      <x:c r="D47" s="26"/>
      <x:c r="E47" s="26"/>
      <x:c r="F47" s="26"/>
      <x:c r="G47" s="26"/>
      <x:c r="H47" s="25"/>
      <x:c r="I47" s="26"/>
      <x:c r="J47" s="26"/>
      <x:c r="K47" s="27" t="str">
        <x:f>IF(OR(B47="",C47=""),"",IFERROR(VLOOKUP(B47&amp;"|"&amp;C47,'Fit Scoring'!$A$4:$K$203,11,FALSE),""))</x:f>
      </x:c>
      <x:c r="L47" s="26"/>
      <x:c r="M47" s="26"/>
      <x:c r="N47" s="25"/>
      <x:c r="O47" s="25" t="str">
        <x:f>IF(N47&lt;&gt;"",N47+7,"")</x:f>
      </x:c>
      <x:c r="P47" s="26"/>
      <x:c r="Q47" s="26"/>
    </x:row>
    <x:row r="48">
      <x:c r="A48" s="25"/>
      <x:c r="B48" s="26"/>
      <x:c r="C48" s="26"/>
      <x:c r="D48" s="26"/>
      <x:c r="E48" s="26"/>
      <x:c r="F48" s="26"/>
      <x:c r="G48" s="26"/>
      <x:c r="H48" s="25"/>
      <x:c r="I48" s="26"/>
      <x:c r="J48" s="26"/>
      <x:c r="K48" s="27" t="str">
        <x:f>IF(OR(B48="",C48=""),"",IFERROR(VLOOKUP(B48&amp;"|"&amp;C48,'Fit Scoring'!$A$4:$K$203,11,FALSE),""))</x:f>
      </x:c>
      <x:c r="L48" s="26"/>
      <x:c r="M48" s="26"/>
      <x:c r="N48" s="25"/>
      <x:c r="O48" s="25" t="str">
        <x:f>IF(N48&lt;&gt;"",N48+7,"")</x:f>
      </x:c>
      <x:c r="P48" s="26"/>
      <x:c r="Q48" s="26"/>
    </x:row>
    <x:row r="49">
      <x:c r="A49" s="25"/>
      <x:c r="B49" s="26"/>
      <x:c r="C49" s="26"/>
      <x:c r="D49" s="26"/>
      <x:c r="E49" s="26"/>
      <x:c r="F49" s="26"/>
      <x:c r="G49" s="26"/>
      <x:c r="H49" s="25"/>
      <x:c r="I49" s="26"/>
      <x:c r="J49" s="26"/>
      <x:c r="K49" s="27" t="str">
        <x:f>IF(OR(B49="",C49=""),"",IFERROR(VLOOKUP(B49&amp;"|"&amp;C49,'Fit Scoring'!$A$4:$K$203,11,FALSE),""))</x:f>
      </x:c>
      <x:c r="L49" s="26"/>
      <x:c r="M49" s="26"/>
      <x:c r="N49" s="25"/>
      <x:c r="O49" s="25" t="str">
        <x:f>IF(N49&lt;&gt;"",N49+7,"")</x:f>
      </x:c>
      <x:c r="P49" s="26"/>
      <x:c r="Q49" s="26"/>
    </x:row>
    <x:row r="50">
      <x:c r="A50" s="25"/>
      <x:c r="B50" s="26"/>
      <x:c r="C50" s="26"/>
      <x:c r="D50" s="26"/>
      <x:c r="E50" s="26"/>
      <x:c r="F50" s="26"/>
      <x:c r="G50" s="26"/>
      <x:c r="H50" s="25"/>
      <x:c r="I50" s="26"/>
      <x:c r="J50" s="26"/>
      <x:c r="K50" s="27" t="str">
        <x:f>IF(OR(B50="",C50=""),"",IFERROR(VLOOKUP(B50&amp;"|"&amp;C50,'Fit Scoring'!$A$4:$K$203,11,FALSE),""))</x:f>
      </x:c>
      <x:c r="L50" s="26"/>
      <x:c r="M50" s="26"/>
      <x:c r="N50" s="25"/>
      <x:c r="O50" s="25" t="str">
        <x:f>IF(N50&lt;&gt;"",N50+7,"")</x:f>
      </x:c>
      <x:c r="P50" s="26"/>
      <x:c r="Q50" s="26"/>
    </x:row>
    <x:row r="51">
      <x:c r="A51" s="25"/>
      <x:c r="B51" s="26"/>
      <x:c r="C51" s="26"/>
      <x:c r="D51" s="26"/>
      <x:c r="E51" s="26"/>
      <x:c r="F51" s="26"/>
      <x:c r="G51" s="26"/>
      <x:c r="H51" s="25"/>
      <x:c r="I51" s="26"/>
      <x:c r="J51" s="26"/>
      <x:c r="K51" s="27" t="str">
        <x:f>IF(OR(B51="",C51=""),"",IFERROR(VLOOKUP(B51&amp;"|"&amp;C51,'Fit Scoring'!$A$4:$K$203,11,FALSE),""))</x:f>
      </x:c>
      <x:c r="L51" s="26"/>
      <x:c r="M51" s="26"/>
      <x:c r="N51" s="25"/>
      <x:c r="O51" s="25" t="str">
        <x:f>IF(N51&lt;&gt;"",N51+7,"")</x:f>
      </x:c>
      <x:c r="P51" s="26"/>
      <x:c r="Q51" s="26"/>
    </x:row>
    <x:row r="52">
      <x:c r="A52" s="25"/>
      <x:c r="B52" s="26"/>
      <x:c r="C52" s="26"/>
      <x:c r="D52" s="26"/>
      <x:c r="E52" s="26"/>
      <x:c r="F52" s="26"/>
      <x:c r="G52" s="26"/>
      <x:c r="H52" s="25"/>
      <x:c r="I52" s="26"/>
      <x:c r="J52" s="26"/>
      <x:c r="K52" s="27" t="str">
        <x:f>IF(OR(B52="",C52=""),"",IFERROR(VLOOKUP(B52&amp;"|"&amp;C52,'Fit Scoring'!$A$4:$K$203,11,FALSE),""))</x:f>
      </x:c>
      <x:c r="L52" s="26"/>
      <x:c r="M52" s="26"/>
      <x:c r="N52" s="25"/>
      <x:c r="O52" s="25" t="str">
        <x:f>IF(N52&lt;&gt;"",N52+7,"")</x:f>
      </x:c>
      <x:c r="P52" s="26"/>
      <x:c r="Q52" s="26"/>
    </x:row>
    <x:row r="53">
      <x:c r="A53" s="25"/>
      <x:c r="B53" s="26"/>
      <x:c r="C53" s="26"/>
      <x:c r="D53" s="26"/>
      <x:c r="E53" s="26"/>
      <x:c r="F53" s="26"/>
      <x:c r="G53" s="26"/>
      <x:c r="H53" s="25"/>
      <x:c r="I53" s="26"/>
      <x:c r="J53" s="26"/>
      <x:c r="K53" s="27" t="str">
        <x:f>IF(OR(B53="",C53=""),"",IFERROR(VLOOKUP(B53&amp;"|"&amp;C53,'Fit Scoring'!$A$4:$K$203,11,FALSE),""))</x:f>
      </x:c>
      <x:c r="L53" s="26"/>
      <x:c r="M53" s="26"/>
      <x:c r="N53" s="25"/>
      <x:c r="O53" s="25" t="str">
        <x:f>IF(N53&lt;&gt;"",N53+7,"")</x:f>
      </x:c>
      <x:c r="P53" s="26"/>
      <x:c r="Q53" s="26"/>
    </x:row>
    <x:row r="54">
      <x:c r="A54" s="25"/>
      <x:c r="B54" s="26"/>
      <x:c r="C54" s="26"/>
      <x:c r="D54" s="26"/>
      <x:c r="E54" s="26"/>
      <x:c r="F54" s="26"/>
      <x:c r="G54" s="26"/>
      <x:c r="H54" s="25"/>
      <x:c r="I54" s="26"/>
      <x:c r="J54" s="26"/>
      <x:c r="K54" s="27" t="str">
        <x:f>IF(OR(B54="",C54=""),"",IFERROR(VLOOKUP(B54&amp;"|"&amp;C54,'Fit Scoring'!$A$4:$K$203,11,FALSE),""))</x:f>
      </x:c>
      <x:c r="L54" s="26"/>
      <x:c r="M54" s="26"/>
      <x:c r="N54" s="25"/>
      <x:c r="O54" s="25" t="str">
        <x:f>IF(N54&lt;&gt;"",N54+7,"")</x:f>
      </x:c>
      <x:c r="P54" s="26"/>
      <x:c r="Q54" s="26"/>
    </x:row>
    <x:row r="55">
      <x:c r="A55" s="25"/>
      <x:c r="B55" s="26"/>
      <x:c r="C55" s="26"/>
      <x:c r="D55" s="26"/>
      <x:c r="E55" s="26"/>
      <x:c r="F55" s="26"/>
      <x:c r="G55" s="26"/>
      <x:c r="H55" s="25"/>
      <x:c r="I55" s="26"/>
      <x:c r="J55" s="26"/>
      <x:c r="K55" s="27" t="str">
        <x:f>IF(OR(B55="",C55=""),"",IFERROR(VLOOKUP(B55&amp;"|"&amp;C55,'Fit Scoring'!$A$4:$K$203,11,FALSE),""))</x:f>
      </x:c>
      <x:c r="L55" s="26"/>
      <x:c r="M55" s="26"/>
      <x:c r="N55" s="25"/>
      <x:c r="O55" s="25" t="str">
        <x:f>IF(N55&lt;&gt;"",N55+7,"")</x:f>
      </x:c>
      <x:c r="P55" s="26"/>
      <x:c r="Q55" s="26"/>
    </x:row>
    <x:row r="56">
      <x:c r="A56" s="25"/>
      <x:c r="B56" s="26"/>
      <x:c r="C56" s="26"/>
      <x:c r="D56" s="26"/>
      <x:c r="E56" s="26"/>
      <x:c r="F56" s="26"/>
      <x:c r="G56" s="26"/>
      <x:c r="H56" s="25"/>
      <x:c r="I56" s="26"/>
      <x:c r="J56" s="26"/>
      <x:c r="K56" s="27" t="str">
        <x:f>IF(OR(B56="",C56=""),"",IFERROR(VLOOKUP(B56&amp;"|"&amp;C56,'Fit Scoring'!$A$4:$K$203,11,FALSE),""))</x:f>
      </x:c>
      <x:c r="L56" s="26"/>
      <x:c r="M56" s="26"/>
      <x:c r="N56" s="25"/>
      <x:c r="O56" s="25" t="str">
        <x:f>IF(N56&lt;&gt;"",N56+7,"")</x:f>
      </x:c>
      <x:c r="P56" s="26"/>
      <x:c r="Q56" s="26"/>
    </x:row>
    <x:row r="57">
      <x:c r="A57" s="25"/>
      <x:c r="B57" s="26"/>
      <x:c r="C57" s="26"/>
      <x:c r="D57" s="26"/>
      <x:c r="E57" s="26"/>
      <x:c r="F57" s="26"/>
      <x:c r="G57" s="26"/>
      <x:c r="H57" s="25"/>
      <x:c r="I57" s="26"/>
      <x:c r="J57" s="26"/>
      <x:c r="K57" s="27" t="str">
        <x:f>IF(OR(B57="",C57=""),"",IFERROR(VLOOKUP(B57&amp;"|"&amp;C57,'Fit Scoring'!$A$4:$K$203,11,FALSE),""))</x:f>
      </x:c>
      <x:c r="L57" s="26"/>
      <x:c r="M57" s="26"/>
      <x:c r="N57" s="25"/>
      <x:c r="O57" s="25" t="str">
        <x:f>IF(N57&lt;&gt;"",N57+7,"")</x:f>
      </x:c>
      <x:c r="P57" s="26"/>
      <x:c r="Q57" s="26"/>
    </x:row>
    <x:row r="58">
      <x:c r="A58" s="25"/>
      <x:c r="B58" s="26"/>
      <x:c r="C58" s="26"/>
      <x:c r="D58" s="26"/>
      <x:c r="E58" s="26"/>
      <x:c r="F58" s="26"/>
      <x:c r="G58" s="26"/>
      <x:c r="H58" s="25"/>
      <x:c r="I58" s="26"/>
      <x:c r="J58" s="26"/>
      <x:c r="K58" s="27" t="str">
        <x:f>IF(OR(B58="",C58=""),"",IFERROR(VLOOKUP(B58&amp;"|"&amp;C58,'Fit Scoring'!$A$4:$K$203,11,FALSE),""))</x:f>
      </x:c>
      <x:c r="L58" s="26"/>
      <x:c r="M58" s="26"/>
      <x:c r="N58" s="25"/>
      <x:c r="O58" s="25" t="str">
        <x:f>IF(N58&lt;&gt;"",N58+7,"")</x:f>
      </x:c>
      <x:c r="P58" s="26"/>
      <x:c r="Q58" s="26"/>
    </x:row>
    <x:row r="59">
      <x:c r="A59" s="25"/>
      <x:c r="B59" s="26"/>
      <x:c r="C59" s="26"/>
      <x:c r="D59" s="26"/>
      <x:c r="E59" s="26"/>
      <x:c r="F59" s="26"/>
      <x:c r="G59" s="26"/>
      <x:c r="H59" s="25"/>
      <x:c r="I59" s="26"/>
      <x:c r="J59" s="26"/>
      <x:c r="K59" s="27" t="str">
        <x:f>IF(OR(B59="",C59=""),"",IFERROR(VLOOKUP(B59&amp;"|"&amp;C59,'Fit Scoring'!$A$4:$K$203,11,FALSE),""))</x:f>
      </x:c>
      <x:c r="L59" s="26"/>
      <x:c r="M59" s="26"/>
      <x:c r="N59" s="25"/>
      <x:c r="O59" s="25" t="str">
        <x:f>IF(N59&lt;&gt;"",N59+7,"")</x:f>
      </x:c>
      <x:c r="P59" s="26"/>
      <x:c r="Q59" s="26"/>
    </x:row>
    <x:row r="60">
      <x:c r="A60" s="25"/>
      <x:c r="B60" s="26"/>
      <x:c r="C60" s="26"/>
      <x:c r="D60" s="26"/>
      <x:c r="E60" s="26"/>
      <x:c r="F60" s="26"/>
      <x:c r="G60" s="26"/>
      <x:c r="H60" s="25"/>
      <x:c r="I60" s="26"/>
      <x:c r="J60" s="26"/>
      <x:c r="K60" s="27" t="str">
        <x:f>IF(OR(B60="",C60=""),"",IFERROR(VLOOKUP(B60&amp;"|"&amp;C60,'Fit Scoring'!$A$4:$K$203,11,FALSE),""))</x:f>
      </x:c>
      <x:c r="L60" s="26"/>
      <x:c r="M60" s="26"/>
      <x:c r="N60" s="25"/>
      <x:c r="O60" s="25" t="str">
        <x:f>IF(N60&lt;&gt;"",N60+7,"")</x:f>
      </x:c>
      <x:c r="P60" s="26"/>
      <x:c r="Q60" s="26"/>
    </x:row>
    <x:row r="61">
      <x:c r="A61" s="25"/>
      <x:c r="B61" s="26"/>
      <x:c r="C61" s="26"/>
      <x:c r="D61" s="26"/>
      <x:c r="E61" s="26"/>
      <x:c r="F61" s="26"/>
      <x:c r="G61" s="26"/>
      <x:c r="H61" s="25"/>
      <x:c r="I61" s="26"/>
      <x:c r="J61" s="26"/>
      <x:c r="K61" s="27" t="str">
        <x:f>IF(OR(B61="",C61=""),"",IFERROR(VLOOKUP(B61&amp;"|"&amp;C61,'Fit Scoring'!$A$4:$K$203,11,FALSE),""))</x:f>
      </x:c>
      <x:c r="L61" s="26"/>
      <x:c r="M61" s="26"/>
      <x:c r="N61" s="25"/>
      <x:c r="O61" s="25" t="str">
        <x:f>IF(N61&lt;&gt;"",N61+7,"")</x:f>
      </x:c>
      <x:c r="P61" s="26"/>
      <x:c r="Q61" s="26"/>
    </x:row>
    <x:row r="62">
      <x:c r="A62" s="25"/>
      <x:c r="B62" s="26"/>
      <x:c r="C62" s="26"/>
      <x:c r="D62" s="26"/>
      <x:c r="E62" s="26"/>
      <x:c r="F62" s="26"/>
      <x:c r="G62" s="26"/>
      <x:c r="H62" s="25"/>
      <x:c r="I62" s="26"/>
      <x:c r="J62" s="26"/>
      <x:c r="K62" s="27" t="str">
        <x:f>IF(OR(B62="",C62=""),"",IFERROR(VLOOKUP(B62&amp;"|"&amp;C62,'Fit Scoring'!$A$4:$K$203,11,FALSE),""))</x:f>
      </x:c>
      <x:c r="L62" s="26"/>
      <x:c r="M62" s="26"/>
      <x:c r="N62" s="25"/>
      <x:c r="O62" s="25" t="str">
        <x:f>IF(N62&lt;&gt;"",N62+7,"")</x:f>
      </x:c>
      <x:c r="P62" s="26"/>
      <x:c r="Q62" s="26"/>
    </x:row>
    <x:row r="63">
      <x:c r="A63" s="25"/>
      <x:c r="B63" s="26"/>
      <x:c r="C63" s="26"/>
      <x:c r="D63" s="26"/>
      <x:c r="E63" s="26"/>
      <x:c r="F63" s="26"/>
      <x:c r="G63" s="26"/>
      <x:c r="H63" s="25"/>
      <x:c r="I63" s="26"/>
      <x:c r="J63" s="26"/>
      <x:c r="K63" s="27" t="str">
        <x:f>IF(OR(B63="",C63=""),"",IFERROR(VLOOKUP(B63&amp;"|"&amp;C63,'Fit Scoring'!$A$4:$K$203,11,FALSE),""))</x:f>
      </x:c>
      <x:c r="L63" s="26"/>
      <x:c r="M63" s="26"/>
      <x:c r="N63" s="25"/>
      <x:c r="O63" s="25" t="str">
        <x:f>IF(N63&lt;&gt;"",N63+7,"")</x:f>
      </x:c>
      <x:c r="P63" s="26"/>
      <x:c r="Q63" s="26"/>
    </x:row>
    <x:row r="64">
      <x:c r="A64" s="25"/>
      <x:c r="B64" s="26"/>
      <x:c r="C64" s="26"/>
      <x:c r="D64" s="26"/>
      <x:c r="E64" s="26"/>
      <x:c r="F64" s="26"/>
      <x:c r="G64" s="26"/>
      <x:c r="H64" s="25"/>
      <x:c r="I64" s="26"/>
      <x:c r="J64" s="26"/>
      <x:c r="K64" s="27" t="str">
        <x:f>IF(OR(B64="",C64=""),"",IFERROR(VLOOKUP(B64&amp;"|"&amp;C64,'Fit Scoring'!$A$4:$K$203,11,FALSE),""))</x:f>
      </x:c>
      <x:c r="L64" s="26"/>
      <x:c r="M64" s="26"/>
      <x:c r="N64" s="25"/>
      <x:c r="O64" s="25" t="str">
        <x:f>IF(N64&lt;&gt;"",N64+7,"")</x:f>
      </x:c>
      <x:c r="P64" s="26"/>
      <x:c r="Q64" s="26"/>
    </x:row>
    <x:row r="65">
      <x:c r="A65" s="25"/>
      <x:c r="B65" s="26"/>
      <x:c r="C65" s="26"/>
      <x:c r="D65" s="26"/>
      <x:c r="E65" s="26"/>
      <x:c r="F65" s="26"/>
      <x:c r="G65" s="26"/>
      <x:c r="H65" s="25"/>
      <x:c r="I65" s="26"/>
      <x:c r="J65" s="26"/>
      <x:c r="K65" s="27" t="str">
        <x:f>IF(OR(B65="",C65=""),"",IFERROR(VLOOKUP(B65&amp;"|"&amp;C65,'Fit Scoring'!$A$4:$K$203,11,FALSE),""))</x:f>
      </x:c>
      <x:c r="L65" s="26"/>
      <x:c r="M65" s="26"/>
      <x:c r="N65" s="25"/>
      <x:c r="O65" s="25" t="str">
        <x:f>IF(N65&lt;&gt;"",N65+7,"")</x:f>
      </x:c>
      <x:c r="P65" s="26"/>
      <x:c r="Q65" s="26"/>
    </x:row>
    <x:row r="66">
      <x:c r="A66" s="25"/>
      <x:c r="B66" s="26"/>
      <x:c r="C66" s="26"/>
      <x:c r="D66" s="26"/>
      <x:c r="E66" s="26"/>
      <x:c r="F66" s="26"/>
      <x:c r="G66" s="26"/>
      <x:c r="H66" s="25"/>
      <x:c r="I66" s="26"/>
      <x:c r="J66" s="26"/>
      <x:c r="K66" s="27" t="str">
        <x:f>IF(OR(B66="",C66=""),"",IFERROR(VLOOKUP(B66&amp;"|"&amp;C66,'Fit Scoring'!$A$4:$K$203,11,FALSE),""))</x:f>
      </x:c>
      <x:c r="L66" s="26"/>
      <x:c r="M66" s="26"/>
      <x:c r="N66" s="25"/>
      <x:c r="O66" s="25" t="str">
        <x:f>IF(N66&lt;&gt;"",N66+7,"")</x:f>
      </x:c>
      <x:c r="P66" s="26"/>
      <x:c r="Q66" s="26"/>
    </x:row>
    <x:row r="67">
      <x:c r="A67" s="25"/>
      <x:c r="B67" s="26"/>
      <x:c r="C67" s="26"/>
      <x:c r="D67" s="26"/>
      <x:c r="E67" s="26"/>
      <x:c r="F67" s="26"/>
      <x:c r="G67" s="26"/>
      <x:c r="H67" s="25"/>
      <x:c r="I67" s="26"/>
      <x:c r="J67" s="26"/>
      <x:c r="K67" s="27" t="str">
        <x:f>IF(OR(B67="",C67=""),"",IFERROR(VLOOKUP(B67&amp;"|"&amp;C67,'Fit Scoring'!$A$4:$K$203,11,FALSE),""))</x:f>
      </x:c>
      <x:c r="L67" s="26"/>
      <x:c r="M67" s="26"/>
      <x:c r="N67" s="25"/>
      <x:c r="O67" s="25" t="str">
        <x:f>IF(N67&lt;&gt;"",N67+7,"")</x:f>
      </x:c>
      <x:c r="P67" s="26"/>
      <x:c r="Q67" s="26"/>
    </x:row>
    <x:row r="68">
      <x:c r="A68" s="25"/>
      <x:c r="B68" s="26"/>
      <x:c r="C68" s="26"/>
      <x:c r="D68" s="26"/>
      <x:c r="E68" s="26"/>
      <x:c r="F68" s="26"/>
      <x:c r="G68" s="26"/>
      <x:c r="H68" s="25"/>
      <x:c r="I68" s="26"/>
      <x:c r="J68" s="26"/>
      <x:c r="K68" s="27" t="str">
        <x:f>IF(OR(B68="",C68=""),"",IFERROR(VLOOKUP(B68&amp;"|"&amp;C68,'Fit Scoring'!$A$4:$K$203,11,FALSE),""))</x:f>
      </x:c>
      <x:c r="L68" s="26"/>
      <x:c r="M68" s="26"/>
      <x:c r="N68" s="25"/>
      <x:c r="O68" s="25" t="str">
        <x:f>IF(N68&lt;&gt;"",N68+7,"")</x:f>
      </x:c>
      <x:c r="P68" s="26"/>
      <x:c r="Q68" s="26"/>
    </x:row>
    <x:row r="69">
      <x:c r="A69" s="25"/>
      <x:c r="B69" s="26"/>
      <x:c r="C69" s="26"/>
      <x:c r="D69" s="26"/>
      <x:c r="E69" s="26"/>
      <x:c r="F69" s="26"/>
      <x:c r="G69" s="26"/>
      <x:c r="H69" s="25"/>
      <x:c r="I69" s="26"/>
      <x:c r="J69" s="26"/>
      <x:c r="K69" s="27" t="str">
        <x:f>IF(OR(B69="",C69=""),"",IFERROR(VLOOKUP(B69&amp;"|"&amp;C69,'Fit Scoring'!$A$4:$K$203,11,FALSE),""))</x:f>
      </x:c>
      <x:c r="L69" s="26"/>
      <x:c r="M69" s="26"/>
      <x:c r="N69" s="25"/>
      <x:c r="O69" s="25" t="str">
        <x:f>IF(N69&lt;&gt;"",N69+7,"")</x:f>
      </x:c>
      <x:c r="P69" s="26"/>
      <x:c r="Q69" s="26"/>
    </x:row>
    <x:row r="70">
      <x:c r="A70" s="25"/>
      <x:c r="B70" s="26"/>
      <x:c r="C70" s="26"/>
      <x:c r="D70" s="26"/>
      <x:c r="E70" s="26"/>
      <x:c r="F70" s="26"/>
      <x:c r="G70" s="26"/>
      <x:c r="H70" s="25"/>
      <x:c r="I70" s="26"/>
      <x:c r="J70" s="26"/>
      <x:c r="K70" s="27" t="str">
        <x:f>IF(OR(B70="",C70=""),"",IFERROR(VLOOKUP(B70&amp;"|"&amp;C70,'Fit Scoring'!$A$4:$K$203,11,FALSE),""))</x:f>
      </x:c>
      <x:c r="L70" s="26"/>
      <x:c r="M70" s="26"/>
      <x:c r="N70" s="25"/>
      <x:c r="O70" s="25" t="str">
        <x:f>IF(N70&lt;&gt;"",N70+7,"")</x:f>
      </x:c>
      <x:c r="P70" s="26"/>
      <x:c r="Q70" s="26"/>
    </x:row>
    <x:row r="71">
      <x:c r="A71" s="25"/>
      <x:c r="B71" s="26"/>
      <x:c r="C71" s="26"/>
      <x:c r="D71" s="26"/>
      <x:c r="E71" s="26"/>
      <x:c r="F71" s="26"/>
      <x:c r="G71" s="26"/>
      <x:c r="H71" s="25"/>
      <x:c r="I71" s="26"/>
      <x:c r="J71" s="26"/>
      <x:c r="K71" s="27" t="str">
        <x:f>IF(OR(B71="",C71=""),"",IFERROR(VLOOKUP(B71&amp;"|"&amp;C71,'Fit Scoring'!$A$4:$K$203,11,FALSE),""))</x:f>
      </x:c>
      <x:c r="L71" s="26"/>
      <x:c r="M71" s="26"/>
      <x:c r="N71" s="25"/>
      <x:c r="O71" s="25" t="str">
        <x:f>IF(N71&lt;&gt;"",N71+7,"")</x:f>
      </x:c>
      <x:c r="P71" s="26"/>
      <x:c r="Q71" s="26"/>
    </x:row>
    <x:row r="72">
      <x:c r="A72" s="25"/>
      <x:c r="B72" s="26"/>
      <x:c r="C72" s="26"/>
      <x:c r="D72" s="26"/>
      <x:c r="E72" s="26"/>
      <x:c r="F72" s="26"/>
      <x:c r="G72" s="26"/>
      <x:c r="H72" s="25"/>
      <x:c r="I72" s="26"/>
      <x:c r="J72" s="26"/>
      <x:c r="K72" s="27" t="str">
        <x:f>IF(OR(B72="",C72=""),"",IFERROR(VLOOKUP(B72&amp;"|"&amp;C72,'Fit Scoring'!$A$4:$K$203,11,FALSE),""))</x:f>
      </x:c>
      <x:c r="L72" s="26"/>
      <x:c r="M72" s="26"/>
      <x:c r="N72" s="25"/>
      <x:c r="O72" s="25" t="str">
        <x:f>IF(N72&lt;&gt;"",N72+7,"")</x:f>
      </x:c>
      <x:c r="P72" s="26"/>
      <x:c r="Q72" s="26"/>
    </x:row>
    <x:row r="73">
      <x:c r="A73" s="25"/>
      <x:c r="B73" s="26"/>
      <x:c r="C73" s="26"/>
      <x:c r="D73" s="26"/>
      <x:c r="E73" s="26"/>
      <x:c r="F73" s="26"/>
      <x:c r="G73" s="26"/>
      <x:c r="H73" s="25"/>
      <x:c r="I73" s="26"/>
      <x:c r="J73" s="26"/>
      <x:c r="K73" s="27" t="str">
        <x:f>IF(OR(B73="",C73=""),"",IFERROR(VLOOKUP(B73&amp;"|"&amp;C73,'Fit Scoring'!$A$4:$K$203,11,FALSE),""))</x:f>
      </x:c>
      <x:c r="L73" s="26"/>
      <x:c r="M73" s="26"/>
      <x:c r="N73" s="25"/>
      <x:c r="O73" s="25" t="str">
        <x:f>IF(N73&lt;&gt;"",N73+7,"")</x:f>
      </x:c>
      <x:c r="P73" s="26"/>
      <x:c r="Q73" s="26"/>
    </x:row>
    <x:row r="74">
      <x:c r="A74" s="25"/>
      <x:c r="B74" s="26"/>
      <x:c r="C74" s="26"/>
      <x:c r="D74" s="26"/>
      <x:c r="E74" s="26"/>
      <x:c r="F74" s="26"/>
      <x:c r="G74" s="26"/>
      <x:c r="H74" s="25"/>
      <x:c r="I74" s="26"/>
      <x:c r="J74" s="26"/>
      <x:c r="K74" s="27" t="str">
        <x:f>IF(OR(B74="",C74=""),"",IFERROR(VLOOKUP(B74&amp;"|"&amp;C74,'Fit Scoring'!$A$4:$K$203,11,FALSE),""))</x:f>
      </x:c>
      <x:c r="L74" s="26"/>
      <x:c r="M74" s="26"/>
      <x:c r="N74" s="25"/>
      <x:c r="O74" s="25" t="str">
        <x:f>IF(N74&lt;&gt;"",N74+7,"")</x:f>
      </x:c>
      <x:c r="P74" s="26"/>
      <x:c r="Q74" s="26"/>
    </x:row>
    <x:row r="75">
      <x:c r="A75" s="25"/>
      <x:c r="B75" s="26"/>
      <x:c r="C75" s="26"/>
      <x:c r="D75" s="26"/>
      <x:c r="E75" s="26"/>
      <x:c r="F75" s="26"/>
      <x:c r="G75" s="26"/>
      <x:c r="H75" s="25"/>
      <x:c r="I75" s="26"/>
      <x:c r="J75" s="26"/>
      <x:c r="K75" s="27" t="str">
        <x:f>IF(OR(B75="",C75=""),"",IFERROR(VLOOKUP(B75&amp;"|"&amp;C75,'Fit Scoring'!$A$4:$K$203,11,FALSE),""))</x:f>
      </x:c>
      <x:c r="L75" s="26"/>
      <x:c r="M75" s="26"/>
      <x:c r="N75" s="25"/>
      <x:c r="O75" s="25" t="str">
        <x:f>IF(N75&lt;&gt;"",N75+7,"")</x:f>
      </x:c>
      <x:c r="P75" s="26"/>
      <x:c r="Q75" s="26"/>
    </x:row>
    <x:row r="76">
      <x:c r="A76" s="25"/>
      <x:c r="B76" s="26"/>
      <x:c r="C76" s="26"/>
      <x:c r="D76" s="26"/>
      <x:c r="E76" s="26"/>
      <x:c r="F76" s="26"/>
      <x:c r="G76" s="26"/>
      <x:c r="H76" s="25"/>
      <x:c r="I76" s="26"/>
      <x:c r="J76" s="26"/>
      <x:c r="K76" s="27" t="str">
        <x:f>IF(OR(B76="",C76=""),"",IFERROR(VLOOKUP(B76&amp;"|"&amp;C76,'Fit Scoring'!$A$4:$K$203,11,FALSE),""))</x:f>
      </x:c>
      <x:c r="L76" s="26"/>
      <x:c r="M76" s="26"/>
      <x:c r="N76" s="25"/>
      <x:c r="O76" s="25" t="str">
        <x:f>IF(N76&lt;&gt;"",N76+7,"")</x:f>
      </x:c>
      <x:c r="P76" s="26"/>
      <x:c r="Q76" s="26"/>
    </x:row>
    <x:row r="77">
      <x:c r="A77" s="25"/>
      <x:c r="B77" s="26"/>
      <x:c r="C77" s="26"/>
      <x:c r="D77" s="26"/>
      <x:c r="E77" s="26"/>
      <x:c r="F77" s="26"/>
      <x:c r="G77" s="26"/>
      <x:c r="H77" s="25"/>
      <x:c r="I77" s="26"/>
      <x:c r="J77" s="26"/>
      <x:c r="K77" s="27" t="str">
        <x:f>IF(OR(B77="",C77=""),"",IFERROR(VLOOKUP(B77&amp;"|"&amp;C77,'Fit Scoring'!$A$4:$K$203,11,FALSE),""))</x:f>
      </x:c>
      <x:c r="L77" s="26"/>
      <x:c r="M77" s="26"/>
      <x:c r="N77" s="25"/>
      <x:c r="O77" s="25" t="str">
        <x:f>IF(N77&lt;&gt;"",N77+7,"")</x:f>
      </x:c>
      <x:c r="P77" s="26"/>
      <x:c r="Q77" s="26"/>
    </x:row>
    <x:row r="78">
      <x:c r="A78" s="25"/>
      <x:c r="B78" s="26"/>
      <x:c r="C78" s="26"/>
      <x:c r="D78" s="26"/>
      <x:c r="E78" s="26"/>
      <x:c r="F78" s="26"/>
      <x:c r="G78" s="26"/>
      <x:c r="H78" s="25"/>
      <x:c r="I78" s="26"/>
      <x:c r="J78" s="26"/>
      <x:c r="K78" s="27" t="str">
        <x:f>IF(OR(B78="",C78=""),"",IFERROR(VLOOKUP(B78&amp;"|"&amp;C78,'Fit Scoring'!$A$4:$K$203,11,FALSE),""))</x:f>
      </x:c>
      <x:c r="L78" s="26"/>
      <x:c r="M78" s="26"/>
      <x:c r="N78" s="25"/>
      <x:c r="O78" s="25" t="str">
        <x:f>IF(N78&lt;&gt;"",N78+7,"")</x:f>
      </x:c>
      <x:c r="P78" s="26"/>
      <x:c r="Q78" s="26"/>
    </x:row>
    <x:row r="79">
      <x:c r="A79" s="25"/>
      <x:c r="B79" s="26"/>
      <x:c r="C79" s="26"/>
      <x:c r="D79" s="26"/>
      <x:c r="E79" s="26"/>
      <x:c r="F79" s="26"/>
      <x:c r="G79" s="26"/>
      <x:c r="H79" s="25"/>
      <x:c r="I79" s="26"/>
      <x:c r="J79" s="26"/>
      <x:c r="K79" s="27" t="str">
        <x:f>IF(OR(B79="",C79=""),"",IFERROR(VLOOKUP(B79&amp;"|"&amp;C79,'Fit Scoring'!$A$4:$K$203,11,FALSE),""))</x:f>
      </x:c>
      <x:c r="L79" s="26"/>
      <x:c r="M79" s="26"/>
      <x:c r="N79" s="25"/>
      <x:c r="O79" s="25" t="str">
        <x:f>IF(N79&lt;&gt;"",N79+7,"")</x:f>
      </x:c>
      <x:c r="P79" s="26"/>
      <x:c r="Q79" s="26"/>
    </x:row>
    <x:row r="80">
      <x:c r="A80" s="25"/>
      <x:c r="B80" s="26"/>
      <x:c r="C80" s="26"/>
      <x:c r="D80" s="26"/>
      <x:c r="E80" s="26"/>
      <x:c r="F80" s="26"/>
      <x:c r="G80" s="26"/>
      <x:c r="H80" s="25"/>
      <x:c r="I80" s="26"/>
      <x:c r="J80" s="26"/>
      <x:c r="K80" s="27" t="str">
        <x:f>IF(OR(B80="",C80=""),"",IFERROR(VLOOKUP(B80&amp;"|"&amp;C80,'Fit Scoring'!$A$4:$K$203,11,FALSE),""))</x:f>
      </x:c>
      <x:c r="L80" s="26"/>
      <x:c r="M80" s="26"/>
      <x:c r="N80" s="25"/>
      <x:c r="O80" s="25" t="str">
        <x:f>IF(N80&lt;&gt;"",N80+7,"")</x:f>
      </x:c>
      <x:c r="P80" s="26"/>
      <x:c r="Q80" s="26"/>
    </x:row>
    <x:row r="81">
      <x:c r="A81" s="25"/>
      <x:c r="B81" s="26"/>
      <x:c r="C81" s="26"/>
      <x:c r="D81" s="26"/>
      <x:c r="E81" s="26"/>
      <x:c r="F81" s="26"/>
      <x:c r="G81" s="26"/>
      <x:c r="H81" s="25"/>
      <x:c r="I81" s="26"/>
      <x:c r="J81" s="26"/>
      <x:c r="K81" s="27" t="str">
        <x:f>IF(OR(B81="",C81=""),"",IFERROR(VLOOKUP(B81&amp;"|"&amp;C81,'Fit Scoring'!$A$4:$K$203,11,FALSE),""))</x:f>
      </x:c>
      <x:c r="L81" s="26"/>
      <x:c r="M81" s="26"/>
      <x:c r="N81" s="25"/>
      <x:c r="O81" s="25" t="str">
        <x:f>IF(N81&lt;&gt;"",N81+7,"")</x:f>
      </x:c>
      <x:c r="P81" s="26"/>
      <x:c r="Q81" s="26"/>
    </x:row>
    <x:row r="82">
      <x:c r="A82" s="25"/>
      <x:c r="B82" s="26"/>
      <x:c r="C82" s="26"/>
      <x:c r="D82" s="26"/>
      <x:c r="E82" s="26"/>
      <x:c r="F82" s="26"/>
      <x:c r="G82" s="26"/>
      <x:c r="H82" s="25"/>
      <x:c r="I82" s="26"/>
      <x:c r="J82" s="26"/>
      <x:c r="K82" s="27" t="str">
        <x:f>IF(OR(B82="",C82=""),"",IFERROR(VLOOKUP(B82&amp;"|"&amp;C82,'Fit Scoring'!$A$4:$K$203,11,FALSE),""))</x:f>
      </x:c>
      <x:c r="L82" s="26"/>
      <x:c r="M82" s="26"/>
      <x:c r="N82" s="25"/>
      <x:c r="O82" s="25" t="str">
        <x:f>IF(N82&lt;&gt;"",N82+7,"")</x:f>
      </x:c>
      <x:c r="P82" s="26"/>
      <x:c r="Q82" s="26"/>
    </x:row>
    <x:row r="83">
      <x:c r="A83" s="25"/>
      <x:c r="B83" s="26"/>
      <x:c r="C83" s="26"/>
      <x:c r="D83" s="26"/>
      <x:c r="E83" s="26"/>
      <x:c r="F83" s="26"/>
      <x:c r="G83" s="26"/>
      <x:c r="H83" s="25"/>
      <x:c r="I83" s="26"/>
      <x:c r="J83" s="26"/>
      <x:c r="K83" s="27" t="str">
        <x:f>IF(OR(B83="",C83=""),"",IFERROR(VLOOKUP(B83&amp;"|"&amp;C83,'Fit Scoring'!$A$4:$K$203,11,FALSE),""))</x:f>
      </x:c>
      <x:c r="L83" s="26"/>
      <x:c r="M83" s="26"/>
      <x:c r="N83" s="25"/>
      <x:c r="O83" s="25" t="str">
        <x:f>IF(N83&lt;&gt;"",N83+7,"")</x:f>
      </x:c>
      <x:c r="P83" s="26"/>
      <x:c r="Q83" s="26"/>
    </x:row>
    <x:row r="84">
      <x:c r="A84" s="25"/>
      <x:c r="B84" s="26"/>
      <x:c r="C84" s="26"/>
      <x:c r="D84" s="26"/>
      <x:c r="E84" s="26"/>
      <x:c r="F84" s="26"/>
      <x:c r="G84" s="26"/>
      <x:c r="H84" s="25"/>
      <x:c r="I84" s="26"/>
      <x:c r="J84" s="26"/>
      <x:c r="K84" s="27" t="str">
        <x:f>IF(OR(B84="",C84=""),"",IFERROR(VLOOKUP(B84&amp;"|"&amp;C84,'Fit Scoring'!$A$4:$K$203,11,FALSE),""))</x:f>
      </x:c>
      <x:c r="L84" s="26"/>
      <x:c r="M84" s="26"/>
      <x:c r="N84" s="25"/>
      <x:c r="O84" s="25" t="str">
        <x:f>IF(N84&lt;&gt;"",N84+7,"")</x:f>
      </x:c>
      <x:c r="P84" s="26"/>
      <x:c r="Q84" s="26"/>
    </x:row>
    <x:row r="85">
      <x:c r="A85" s="25"/>
      <x:c r="B85" s="26"/>
      <x:c r="C85" s="26"/>
      <x:c r="D85" s="26"/>
      <x:c r="E85" s="26"/>
      <x:c r="F85" s="26"/>
      <x:c r="G85" s="26"/>
      <x:c r="H85" s="25"/>
      <x:c r="I85" s="26"/>
      <x:c r="J85" s="26"/>
      <x:c r="K85" s="27" t="str">
        <x:f>IF(OR(B85="",C85=""),"",IFERROR(VLOOKUP(B85&amp;"|"&amp;C85,'Fit Scoring'!$A$4:$K$203,11,FALSE),""))</x:f>
      </x:c>
      <x:c r="L85" s="26"/>
      <x:c r="M85" s="26"/>
      <x:c r="N85" s="25"/>
      <x:c r="O85" s="25" t="str">
        <x:f>IF(N85&lt;&gt;"",N85+7,"")</x:f>
      </x:c>
      <x:c r="P85" s="26"/>
      <x:c r="Q85" s="26"/>
    </x:row>
    <x:row r="86">
      <x:c r="A86" s="25"/>
      <x:c r="B86" s="26"/>
      <x:c r="C86" s="26"/>
      <x:c r="D86" s="26"/>
      <x:c r="E86" s="26"/>
      <x:c r="F86" s="26"/>
      <x:c r="G86" s="26"/>
      <x:c r="H86" s="25"/>
      <x:c r="I86" s="26"/>
      <x:c r="J86" s="26"/>
      <x:c r="K86" s="27" t="str">
        <x:f>IF(OR(B86="",C86=""),"",IFERROR(VLOOKUP(B86&amp;"|"&amp;C86,'Fit Scoring'!$A$4:$K$203,11,FALSE),""))</x:f>
      </x:c>
      <x:c r="L86" s="26"/>
      <x:c r="M86" s="26"/>
      <x:c r="N86" s="25"/>
      <x:c r="O86" s="25" t="str">
        <x:f>IF(N86&lt;&gt;"",N86+7,"")</x:f>
      </x:c>
      <x:c r="P86" s="26"/>
      <x:c r="Q86" s="26"/>
    </x:row>
    <x:row r="87">
      <x:c r="A87" s="25"/>
      <x:c r="B87" s="26"/>
      <x:c r="C87" s="26"/>
      <x:c r="D87" s="26"/>
      <x:c r="E87" s="26"/>
      <x:c r="F87" s="26"/>
      <x:c r="G87" s="26"/>
      <x:c r="H87" s="25"/>
      <x:c r="I87" s="26"/>
      <x:c r="J87" s="26"/>
      <x:c r="K87" s="27" t="str">
        <x:f>IF(OR(B87="",C87=""),"",IFERROR(VLOOKUP(B87&amp;"|"&amp;C87,'Fit Scoring'!$A$4:$K$203,11,FALSE),""))</x:f>
      </x:c>
      <x:c r="L87" s="26"/>
      <x:c r="M87" s="26"/>
      <x:c r="N87" s="25"/>
      <x:c r="O87" s="25" t="str">
        <x:f>IF(N87&lt;&gt;"",N87+7,"")</x:f>
      </x:c>
      <x:c r="P87" s="26"/>
      <x:c r="Q87" s="26"/>
    </x:row>
    <x:row r="88">
      <x:c r="A88" s="25"/>
      <x:c r="B88" s="26"/>
      <x:c r="C88" s="26"/>
      <x:c r="D88" s="26"/>
      <x:c r="E88" s="26"/>
      <x:c r="F88" s="26"/>
      <x:c r="G88" s="26"/>
      <x:c r="H88" s="25"/>
      <x:c r="I88" s="26"/>
      <x:c r="J88" s="26"/>
      <x:c r="K88" s="27" t="str">
        <x:f>IF(OR(B88="",C88=""),"",IFERROR(VLOOKUP(B88&amp;"|"&amp;C88,'Fit Scoring'!$A$4:$K$203,11,FALSE),""))</x:f>
      </x:c>
      <x:c r="L88" s="26"/>
      <x:c r="M88" s="26"/>
      <x:c r="N88" s="25"/>
      <x:c r="O88" s="25" t="str">
        <x:f>IF(N88&lt;&gt;"",N88+7,"")</x:f>
      </x:c>
      <x:c r="P88" s="26"/>
      <x:c r="Q88" s="26"/>
    </x:row>
    <x:row r="89">
      <x:c r="A89" s="25"/>
      <x:c r="B89" s="26"/>
      <x:c r="C89" s="26"/>
      <x:c r="D89" s="26"/>
      <x:c r="E89" s="26"/>
      <x:c r="F89" s="26"/>
      <x:c r="G89" s="26"/>
      <x:c r="H89" s="25"/>
      <x:c r="I89" s="26"/>
      <x:c r="J89" s="26"/>
      <x:c r="K89" s="27" t="str">
        <x:f>IF(OR(B89="",C89=""),"",IFERROR(VLOOKUP(B89&amp;"|"&amp;C89,'Fit Scoring'!$A$4:$K$203,11,FALSE),""))</x:f>
      </x:c>
      <x:c r="L89" s="26"/>
      <x:c r="M89" s="26"/>
      <x:c r="N89" s="25"/>
      <x:c r="O89" s="25" t="str">
        <x:f>IF(N89&lt;&gt;"",N89+7,"")</x:f>
      </x:c>
      <x:c r="P89" s="26"/>
      <x:c r="Q89" s="26"/>
    </x:row>
    <x:row r="90">
      <x:c r="A90" s="25"/>
      <x:c r="B90" s="26"/>
      <x:c r="C90" s="26"/>
      <x:c r="D90" s="26"/>
      <x:c r="E90" s="26"/>
      <x:c r="F90" s="26"/>
      <x:c r="G90" s="26"/>
      <x:c r="H90" s="25"/>
      <x:c r="I90" s="26"/>
      <x:c r="J90" s="26"/>
      <x:c r="K90" s="27" t="str">
        <x:f>IF(OR(B90="",C90=""),"",IFERROR(VLOOKUP(B90&amp;"|"&amp;C90,'Fit Scoring'!$A$4:$K$203,11,FALSE),""))</x:f>
      </x:c>
      <x:c r="L90" s="26"/>
      <x:c r="M90" s="26"/>
      <x:c r="N90" s="25"/>
      <x:c r="O90" s="25" t="str">
        <x:f>IF(N90&lt;&gt;"",N90+7,"")</x:f>
      </x:c>
      <x:c r="P90" s="26"/>
      <x:c r="Q90" s="26"/>
    </x:row>
    <x:row r="91">
      <x:c r="A91" s="25"/>
      <x:c r="B91" s="26"/>
      <x:c r="C91" s="26"/>
      <x:c r="D91" s="26"/>
      <x:c r="E91" s="26"/>
      <x:c r="F91" s="26"/>
      <x:c r="G91" s="26"/>
      <x:c r="H91" s="25"/>
      <x:c r="I91" s="26"/>
      <x:c r="J91" s="26"/>
      <x:c r="K91" s="27" t="str">
        <x:f>IF(OR(B91="",C91=""),"",IFERROR(VLOOKUP(B91&amp;"|"&amp;C91,'Fit Scoring'!$A$4:$K$203,11,FALSE),""))</x:f>
      </x:c>
      <x:c r="L91" s="26"/>
      <x:c r="M91" s="26"/>
      <x:c r="N91" s="25"/>
      <x:c r="O91" s="25" t="str">
        <x:f>IF(N91&lt;&gt;"",N91+7,"")</x:f>
      </x:c>
      <x:c r="P91" s="26"/>
      <x:c r="Q91" s="26"/>
    </x:row>
    <x:row r="92">
      <x:c r="A92" s="25"/>
      <x:c r="B92" s="26"/>
      <x:c r="C92" s="26"/>
      <x:c r="D92" s="26"/>
      <x:c r="E92" s="26"/>
      <x:c r="F92" s="26"/>
      <x:c r="G92" s="26"/>
      <x:c r="H92" s="25"/>
      <x:c r="I92" s="26"/>
      <x:c r="J92" s="26"/>
      <x:c r="K92" s="27" t="str">
        <x:f>IF(OR(B92="",C92=""),"",IFERROR(VLOOKUP(B92&amp;"|"&amp;C92,'Fit Scoring'!$A$4:$K$203,11,FALSE),""))</x:f>
      </x:c>
      <x:c r="L92" s="26"/>
      <x:c r="M92" s="26"/>
      <x:c r="N92" s="25"/>
      <x:c r="O92" s="25" t="str">
        <x:f>IF(N92&lt;&gt;"",N92+7,"")</x:f>
      </x:c>
      <x:c r="P92" s="26"/>
      <x:c r="Q92" s="26"/>
    </x:row>
    <x:row r="93">
      <x:c r="A93" s="25"/>
      <x:c r="B93" s="26"/>
      <x:c r="C93" s="26"/>
      <x:c r="D93" s="26"/>
      <x:c r="E93" s="26"/>
      <x:c r="F93" s="26"/>
      <x:c r="G93" s="26"/>
      <x:c r="H93" s="25"/>
      <x:c r="I93" s="26"/>
      <x:c r="J93" s="26"/>
      <x:c r="K93" s="27" t="str">
        <x:f>IF(OR(B93="",C93=""),"",IFERROR(VLOOKUP(B93&amp;"|"&amp;C93,'Fit Scoring'!$A$4:$K$203,11,FALSE),""))</x:f>
      </x:c>
      <x:c r="L93" s="26"/>
      <x:c r="M93" s="26"/>
      <x:c r="N93" s="25"/>
      <x:c r="O93" s="25" t="str">
        <x:f>IF(N93&lt;&gt;"",N93+7,"")</x:f>
      </x:c>
      <x:c r="P93" s="26"/>
      <x:c r="Q93" s="26"/>
    </x:row>
    <x:row r="94">
      <x:c r="A94" s="25"/>
      <x:c r="B94" s="26"/>
      <x:c r="C94" s="26"/>
      <x:c r="D94" s="26"/>
      <x:c r="E94" s="26"/>
      <x:c r="F94" s="26"/>
      <x:c r="G94" s="26"/>
      <x:c r="H94" s="25"/>
      <x:c r="I94" s="26"/>
      <x:c r="J94" s="26"/>
      <x:c r="K94" s="27" t="str">
        <x:f>IF(OR(B94="",C94=""),"",IFERROR(VLOOKUP(B94&amp;"|"&amp;C94,'Fit Scoring'!$A$4:$K$203,11,FALSE),""))</x:f>
      </x:c>
      <x:c r="L94" s="26"/>
      <x:c r="M94" s="26"/>
      <x:c r="N94" s="25"/>
      <x:c r="O94" s="25" t="str">
        <x:f>IF(N94&lt;&gt;"",N94+7,"")</x:f>
      </x:c>
      <x:c r="P94" s="26"/>
      <x:c r="Q94" s="26"/>
    </x:row>
    <x:row r="95">
      <x:c r="A95" s="25"/>
      <x:c r="B95" s="26"/>
      <x:c r="C95" s="26"/>
      <x:c r="D95" s="26"/>
      <x:c r="E95" s="26"/>
      <x:c r="F95" s="26"/>
      <x:c r="G95" s="26"/>
      <x:c r="H95" s="25"/>
      <x:c r="I95" s="26"/>
      <x:c r="J95" s="26"/>
      <x:c r="K95" s="27" t="str">
        <x:f>IF(OR(B95="",C95=""),"",IFERROR(VLOOKUP(B95&amp;"|"&amp;C95,'Fit Scoring'!$A$4:$K$203,11,FALSE),""))</x:f>
      </x:c>
      <x:c r="L95" s="26"/>
      <x:c r="M95" s="26"/>
      <x:c r="N95" s="25"/>
      <x:c r="O95" s="25" t="str">
        <x:f>IF(N95&lt;&gt;"",N95+7,"")</x:f>
      </x:c>
      <x:c r="P95" s="26"/>
      <x:c r="Q95" s="26"/>
    </x:row>
    <x:row r="96">
      <x:c r="A96" s="25"/>
      <x:c r="B96" s="26"/>
      <x:c r="C96" s="26"/>
      <x:c r="D96" s="26"/>
      <x:c r="E96" s="26"/>
      <x:c r="F96" s="26"/>
      <x:c r="G96" s="26"/>
      <x:c r="H96" s="25"/>
      <x:c r="I96" s="26"/>
      <x:c r="J96" s="26"/>
      <x:c r="K96" s="27" t="str">
        <x:f>IF(OR(B96="",C96=""),"",IFERROR(VLOOKUP(B96&amp;"|"&amp;C96,'Fit Scoring'!$A$4:$K$203,11,FALSE),""))</x:f>
      </x:c>
      <x:c r="L96" s="26"/>
      <x:c r="M96" s="26"/>
      <x:c r="N96" s="25"/>
      <x:c r="O96" s="25" t="str">
        <x:f>IF(N96&lt;&gt;"",N96+7,"")</x:f>
      </x:c>
      <x:c r="P96" s="26"/>
      <x:c r="Q96" s="26"/>
    </x:row>
    <x:row r="97">
      <x:c r="A97" s="25"/>
      <x:c r="B97" s="26"/>
      <x:c r="C97" s="26"/>
      <x:c r="D97" s="26"/>
      <x:c r="E97" s="26"/>
      <x:c r="F97" s="26"/>
      <x:c r="G97" s="26"/>
      <x:c r="H97" s="25"/>
      <x:c r="I97" s="26"/>
      <x:c r="J97" s="26"/>
      <x:c r="K97" s="27" t="str">
        <x:f>IF(OR(B97="",C97=""),"",IFERROR(VLOOKUP(B97&amp;"|"&amp;C97,'Fit Scoring'!$A$4:$K$203,11,FALSE),""))</x:f>
      </x:c>
      <x:c r="L97" s="26"/>
      <x:c r="M97" s="26"/>
      <x:c r="N97" s="25"/>
      <x:c r="O97" s="25" t="str">
        <x:f>IF(N97&lt;&gt;"",N97+7,"")</x:f>
      </x:c>
      <x:c r="P97" s="26"/>
      <x:c r="Q97" s="26"/>
    </x:row>
    <x:row r="98">
      <x:c r="A98" s="25"/>
      <x:c r="B98" s="26"/>
      <x:c r="C98" s="26"/>
      <x:c r="D98" s="26"/>
      <x:c r="E98" s="26"/>
      <x:c r="F98" s="26"/>
      <x:c r="G98" s="26"/>
      <x:c r="H98" s="25"/>
      <x:c r="I98" s="26"/>
      <x:c r="J98" s="26"/>
      <x:c r="K98" s="27" t="str">
        <x:f>IF(OR(B98="",C98=""),"",IFERROR(VLOOKUP(B98&amp;"|"&amp;C98,'Fit Scoring'!$A$4:$K$203,11,FALSE),""))</x:f>
      </x:c>
      <x:c r="L98" s="26"/>
      <x:c r="M98" s="26"/>
      <x:c r="N98" s="25"/>
      <x:c r="O98" s="25" t="str">
        <x:f>IF(N98&lt;&gt;"",N98+7,"")</x:f>
      </x:c>
      <x:c r="P98" s="26"/>
      <x:c r="Q98" s="26"/>
    </x:row>
    <x:row r="99">
      <x:c r="A99" s="25"/>
      <x:c r="B99" s="26"/>
      <x:c r="C99" s="26"/>
      <x:c r="D99" s="26"/>
      <x:c r="E99" s="26"/>
      <x:c r="F99" s="26"/>
      <x:c r="G99" s="26"/>
      <x:c r="H99" s="25"/>
      <x:c r="I99" s="26"/>
      <x:c r="J99" s="26"/>
      <x:c r="K99" s="27" t="str">
        <x:f>IF(OR(B99="",C99=""),"",IFERROR(VLOOKUP(B99&amp;"|"&amp;C99,'Fit Scoring'!$A$4:$K$203,11,FALSE),""))</x:f>
      </x:c>
      <x:c r="L99" s="26"/>
      <x:c r="M99" s="26"/>
      <x:c r="N99" s="25"/>
      <x:c r="O99" s="25" t="str">
        <x:f>IF(N99&lt;&gt;"",N99+7,"")</x:f>
      </x:c>
      <x:c r="P99" s="26"/>
      <x:c r="Q99" s="26"/>
    </x:row>
    <x:row r="100">
      <x:c r="A100" s="25"/>
      <x:c r="B100" s="26"/>
      <x:c r="C100" s="26"/>
      <x:c r="D100" s="26"/>
      <x:c r="E100" s="26"/>
      <x:c r="F100" s="26"/>
      <x:c r="G100" s="26"/>
      <x:c r="H100" s="25"/>
      <x:c r="I100" s="26"/>
      <x:c r="J100" s="26"/>
      <x:c r="K100" s="27" t="str">
        <x:f>IF(OR(B100="",C100=""),"",IFERROR(VLOOKUP(B100&amp;"|"&amp;C100,'Fit Scoring'!$A$4:$K$203,11,FALSE),""))</x:f>
      </x:c>
      <x:c r="L100" s="26"/>
      <x:c r="M100" s="26"/>
      <x:c r="N100" s="25"/>
      <x:c r="O100" s="25" t="str">
        <x:f>IF(N100&lt;&gt;"",N100+7,"")</x:f>
      </x:c>
      <x:c r="P100" s="26"/>
      <x:c r="Q100" s="26"/>
    </x:row>
    <x:row r="101">
      <x:c r="A101" s="25"/>
      <x:c r="B101" s="26"/>
      <x:c r="C101" s="26"/>
      <x:c r="D101" s="26"/>
      <x:c r="E101" s="26"/>
      <x:c r="F101" s="26"/>
      <x:c r="G101" s="26"/>
      <x:c r="H101" s="25"/>
      <x:c r="I101" s="26"/>
      <x:c r="J101" s="26"/>
      <x:c r="K101" s="27" t="str">
        <x:f>IF(OR(B101="",C101=""),"",IFERROR(VLOOKUP(B101&amp;"|"&amp;C101,'Fit Scoring'!$A$4:$K$203,11,FALSE),""))</x:f>
      </x:c>
      <x:c r="L101" s="26"/>
      <x:c r="M101" s="26"/>
      <x:c r="N101" s="25"/>
      <x:c r="O101" s="25" t="str">
        <x:f>IF(N101&lt;&gt;"",N101+7,"")</x:f>
      </x:c>
      <x:c r="P101" s="26"/>
      <x:c r="Q101" s="26"/>
    </x:row>
    <x:row r="102">
      <x:c r="A102" s="25"/>
      <x:c r="B102" s="26"/>
      <x:c r="C102" s="26"/>
      <x:c r="D102" s="26"/>
      <x:c r="E102" s="26"/>
      <x:c r="F102" s="26"/>
      <x:c r="G102" s="26"/>
      <x:c r="H102" s="25"/>
      <x:c r="I102" s="26"/>
      <x:c r="J102" s="26"/>
      <x:c r="K102" s="27" t="str">
        <x:f>IF(OR(B102="",C102=""),"",IFERROR(VLOOKUP(B102&amp;"|"&amp;C102,'Fit Scoring'!$A$4:$K$203,11,FALSE),""))</x:f>
      </x:c>
      <x:c r="L102" s="26"/>
      <x:c r="M102" s="26"/>
      <x:c r="N102" s="25"/>
      <x:c r="O102" s="25" t="str">
        <x:f>IF(N102&lt;&gt;"",N102+7,"")</x:f>
      </x:c>
      <x:c r="P102" s="26"/>
      <x:c r="Q102" s="26"/>
    </x:row>
    <x:row r="103">
      <x:c r="A103" s="25"/>
      <x:c r="B103" s="26"/>
      <x:c r="C103" s="26"/>
      <x:c r="D103" s="26"/>
      <x:c r="E103" s="26"/>
      <x:c r="F103" s="26"/>
      <x:c r="G103" s="26"/>
      <x:c r="H103" s="25"/>
      <x:c r="I103" s="26"/>
      <x:c r="J103" s="26"/>
      <x:c r="K103" s="27" t="str">
        <x:f>IF(OR(B103="",C103=""),"",IFERROR(VLOOKUP(B103&amp;"|"&amp;C103,'Fit Scoring'!$A$4:$K$203,11,FALSE),""))</x:f>
      </x:c>
      <x:c r="L103" s="26"/>
      <x:c r="M103" s="26"/>
      <x:c r="N103" s="25"/>
      <x:c r="O103" s="25" t="str">
        <x:f>IF(N103&lt;&gt;"",N103+7,"")</x:f>
      </x:c>
      <x:c r="P103" s="26"/>
      <x:c r="Q103" s="26"/>
    </x:row>
    <x:row r="104">
      <x:c r="A104" s="25"/>
      <x:c r="B104" s="26"/>
      <x:c r="C104" s="26"/>
      <x:c r="D104" s="26"/>
      <x:c r="E104" s="26"/>
      <x:c r="F104" s="26"/>
      <x:c r="G104" s="26"/>
      <x:c r="H104" s="25"/>
      <x:c r="I104" s="26"/>
      <x:c r="J104" s="26"/>
      <x:c r="K104" s="27" t="str">
        <x:f>IF(OR(B104="",C104=""),"",IFERROR(VLOOKUP(B104&amp;"|"&amp;C104,'Fit Scoring'!$A$4:$K$203,11,FALSE),""))</x:f>
      </x:c>
      <x:c r="L104" s="26"/>
      <x:c r="M104" s="26"/>
      <x:c r="N104" s="25"/>
      <x:c r="O104" s="25" t="str">
        <x:f>IF(N104&lt;&gt;"",N104+7,"")</x:f>
      </x:c>
      <x:c r="P104" s="26"/>
      <x:c r="Q104" s="26"/>
    </x:row>
    <x:row r="105">
      <x:c r="A105" s="25"/>
      <x:c r="B105" s="26"/>
      <x:c r="C105" s="26"/>
      <x:c r="D105" s="26"/>
      <x:c r="E105" s="26"/>
      <x:c r="F105" s="26"/>
      <x:c r="G105" s="26"/>
      <x:c r="H105" s="25"/>
      <x:c r="I105" s="26"/>
      <x:c r="J105" s="26"/>
      <x:c r="K105" s="27" t="str">
        <x:f>IF(OR(B105="",C105=""),"",IFERROR(VLOOKUP(B105&amp;"|"&amp;C105,'Fit Scoring'!$A$4:$K$203,11,FALSE),""))</x:f>
      </x:c>
      <x:c r="L105" s="26"/>
      <x:c r="M105" s="26"/>
      <x:c r="N105" s="25"/>
      <x:c r="O105" s="25" t="str">
        <x:f>IF(N105&lt;&gt;"",N105+7,"")</x:f>
      </x:c>
      <x:c r="P105" s="26"/>
      <x:c r="Q105" s="26"/>
    </x:row>
    <x:row r="106">
      <x:c r="A106" s="25"/>
      <x:c r="B106" s="26"/>
      <x:c r="C106" s="26"/>
      <x:c r="D106" s="26"/>
      <x:c r="E106" s="26"/>
      <x:c r="F106" s="26"/>
      <x:c r="G106" s="26"/>
      <x:c r="H106" s="25"/>
      <x:c r="I106" s="26"/>
      <x:c r="J106" s="26"/>
      <x:c r="K106" s="27" t="str">
        <x:f>IF(OR(B106="",C106=""),"",IFERROR(VLOOKUP(B106&amp;"|"&amp;C106,'Fit Scoring'!$A$4:$K$203,11,FALSE),""))</x:f>
      </x:c>
      <x:c r="L106" s="26"/>
      <x:c r="M106" s="26"/>
      <x:c r="N106" s="25"/>
      <x:c r="O106" s="25" t="str">
        <x:f>IF(N106&lt;&gt;"",N106+7,"")</x:f>
      </x:c>
      <x:c r="P106" s="26"/>
      <x:c r="Q106" s="26"/>
    </x:row>
    <x:row r="107">
      <x:c r="A107" s="25"/>
      <x:c r="B107" s="26"/>
      <x:c r="C107" s="26"/>
      <x:c r="D107" s="26"/>
      <x:c r="E107" s="26"/>
      <x:c r="F107" s="26"/>
      <x:c r="G107" s="26"/>
      <x:c r="H107" s="25"/>
      <x:c r="I107" s="26"/>
      <x:c r="J107" s="26"/>
      <x:c r="K107" s="27" t="str">
        <x:f>IF(OR(B107="",C107=""),"",IFERROR(VLOOKUP(B107&amp;"|"&amp;C107,'Fit Scoring'!$A$4:$K$203,11,FALSE),""))</x:f>
      </x:c>
      <x:c r="L107" s="26"/>
      <x:c r="M107" s="26"/>
      <x:c r="N107" s="25"/>
      <x:c r="O107" s="25" t="str">
        <x:f>IF(N107&lt;&gt;"",N107+7,"")</x:f>
      </x:c>
      <x:c r="P107" s="26"/>
      <x:c r="Q107" s="26"/>
    </x:row>
    <x:row r="108">
      <x:c r="A108" s="25"/>
      <x:c r="B108" s="26"/>
      <x:c r="C108" s="26"/>
      <x:c r="D108" s="26"/>
      <x:c r="E108" s="26"/>
      <x:c r="F108" s="26"/>
      <x:c r="G108" s="26"/>
      <x:c r="H108" s="25"/>
      <x:c r="I108" s="26"/>
      <x:c r="J108" s="26"/>
      <x:c r="K108" s="27" t="str">
        <x:f>IF(OR(B108="",C108=""),"",IFERROR(VLOOKUP(B108&amp;"|"&amp;C108,'Fit Scoring'!$A$4:$K$203,11,FALSE),""))</x:f>
      </x:c>
      <x:c r="L108" s="26"/>
      <x:c r="M108" s="26"/>
      <x:c r="N108" s="25"/>
      <x:c r="O108" s="25" t="str">
        <x:f>IF(N108&lt;&gt;"",N108+7,"")</x:f>
      </x:c>
      <x:c r="P108" s="26"/>
      <x:c r="Q108" s="26"/>
    </x:row>
    <x:row r="109">
      <x:c r="A109" s="25"/>
      <x:c r="B109" s="26"/>
      <x:c r="C109" s="26"/>
      <x:c r="D109" s="26"/>
      <x:c r="E109" s="26"/>
      <x:c r="F109" s="26"/>
      <x:c r="G109" s="26"/>
      <x:c r="H109" s="25"/>
      <x:c r="I109" s="26"/>
      <x:c r="J109" s="26"/>
      <x:c r="K109" s="27" t="str">
        <x:f>IF(OR(B109="",C109=""),"",IFERROR(VLOOKUP(B109&amp;"|"&amp;C109,'Fit Scoring'!$A$4:$K$203,11,FALSE),""))</x:f>
      </x:c>
      <x:c r="L109" s="26"/>
      <x:c r="M109" s="26"/>
      <x:c r="N109" s="25"/>
      <x:c r="O109" s="25" t="str">
        <x:f>IF(N109&lt;&gt;"",N109+7,"")</x:f>
      </x:c>
      <x:c r="P109" s="26"/>
      <x:c r="Q109" s="26"/>
    </x:row>
    <x:row r="110">
      <x:c r="A110" s="25"/>
      <x:c r="B110" s="26"/>
      <x:c r="C110" s="26"/>
      <x:c r="D110" s="26"/>
      <x:c r="E110" s="26"/>
      <x:c r="F110" s="26"/>
      <x:c r="G110" s="26"/>
      <x:c r="H110" s="25"/>
      <x:c r="I110" s="26"/>
      <x:c r="J110" s="26"/>
      <x:c r="K110" s="27" t="str">
        <x:f>IF(OR(B110="",C110=""),"",IFERROR(VLOOKUP(B110&amp;"|"&amp;C110,'Fit Scoring'!$A$4:$K$203,11,FALSE),""))</x:f>
      </x:c>
      <x:c r="L110" s="26"/>
      <x:c r="M110" s="26"/>
      <x:c r="N110" s="25"/>
      <x:c r="O110" s="25" t="str">
        <x:f>IF(N110&lt;&gt;"",N110+7,"")</x:f>
      </x:c>
      <x:c r="P110" s="26"/>
      <x:c r="Q110" s="26"/>
    </x:row>
    <x:row r="111">
      <x:c r="A111" s="25"/>
      <x:c r="B111" s="26"/>
      <x:c r="C111" s="26"/>
      <x:c r="D111" s="26"/>
      <x:c r="E111" s="26"/>
      <x:c r="F111" s="26"/>
      <x:c r="G111" s="26"/>
      <x:c r="H111" s="25"/>
      <x:c r="I111" s="26"/>
      <x:c r="J111" s="26"/>
      <x:c r="K111" s="27" t="str">
        <x:f>IF(OR(B111="",C111=""),"",IFERROR(VLOOKUP(B111&amp;"|"&amp;C111,'Fit Scoring'!$A$4:$K$203,11,FALSE),""))</x:f>
      </x:c>
      <x:c r="L111" s="26"/>
      <x:c r="M111" s="26"/>
      <x:c r="N111" s="25"/>
      <x:c r="O111" s="25" t="str">
        <x:f>IF(N111&lt;&gt;"",N111+7,"")</x:f>
      </x:c>
      <x:c r="P111" s="26"/>
      <x:c r="Q111" s="26"/>
    </x:row>
    <x:row r="112">
      <x:c r="A112" s="25"/>
      <x:c r="B112" s="26"/>
      <x:c r="C112" s="26"/>
      <x:c r="D112" s="26"/>
      <x:c r="E112" s="26"/>
      <x:c r="F112" s="26"/>
      <x:c r="G112" s="26"/>
      <x:c r="H112" s="25"/>
      <x:c r="I112" s="26"/>
      <x:c r="J112" s="26"/>
      <x:c r="K112" s="27" t="str">
        <x:f>IF(OR(B112="",C112=""),"",IFERROR(VLOOKUP(B112&amp;"|"&amp;C112,'Fit Scoring'!$A$4:$K$203,11,FALSE),""))</x:f>
      </x:c>
      <x:c r="L112" s="26"/>
      <x:c r="M112" s="26"/>
      <x:c r="N112" s="25"/>
      <x:c r="O112" s="25" t="str">
        <x:f>IF(N112&lt;&gt;"",N112+7,"")</x:f>
      </x:c>
      <x:c r="P112" s="26"/>
      <x:c r="Q112" s="26"/>
    </x:row>
    <x:row r="113">
      <x:c r="A113" s="25"/>
      <x:c r="B113" s="26"/>
      <x:c r="C113" s="26"/>
      <x:c r="D113" s="26"/>
      <x:c r="E113" s="26"/>
      <x:c r="F113" s="26"/>
      <x:c r="G113" s="26"/>
      <x:c r="H113" s="25"/>
      <x:c r="I113" s="26"/>
      <x:c r="J113" s="26"/>
      <x:c r="K113" s="27" t="str">
        <x:f>IF(OR(B113="",C113=""),"",IFERROR(VLOOKUP(B113&amp;"|"&amp;C113,'Fit Scoring'!$A$4:$K$203,11,FALSE),""))</x:f>
      </x:c>
      <x:c r="L113" s="26"/>
      <x:c r="M113" s="26"/>
      <x:c r="N113" s="25"/>
      <x:c r="O113" s="25" t="str">
        <x:f>IF(N113&lt;&gt;"",N113+7,"")</x:f>
      </x:c>
      <x:c r="P113" s="26"/>
      <x:c r="Q113" s="26"/>
    </x:row>
    <x:row r="114">
      <x:c r="A114" s="25"/>
      <x:c r="B114" s="26"/>
      <x:c r="C114" s="26"/>
      <x:c r="D114" s="26"/>
      <x:c r="E114" s="26"/>
      <x:c r="F114" s="26"/>
      <x:c r="G114" s="26"/>
      <x:c r="H114" s="25"/>
      <x:c r="I114" s="26"/>
      <x:c r="J114" s="26"/>
      <x:c r="K114" s="27" t="str">
        <x:f>IF(OR(B114="",C114=""),"",IFERROR(VLOOKUP(B114&amp;"|"&amp;C114,'Fit Scoring'!$A$4:$K$203,11,FALSE),""))</x:f>
      </x:c>
      <x:c r="L114" s="26"/>
      <x:c r="M114" s="26"/>
      <x:c r="N114" s="25"/>
      <x:c r="O114" s="25" t="str">
        <x:f>IF(N114&lt;&gt;"",N114+7,"")</x:f>
      </x:c>
      <x:c r="P114" s="26"/>
      <x:c r="Q114" s="26"/>
    </x:row>
    <x:row r="115">
      <x:c r="A115" s="25"/>
      <x:c r="B115" s="26"/>
      <x:c r="C115" s="26"/>
      <x:c r="D115" s="26"/>
      <x:c r="E115" s="26"/>
      <x:c r="F115" s="26"/>
      <x:c r="G115" s="26"/>
      <x:c r="H115" s="25"/>
      <x:c r="I115" s="26"/>
      <x:c r="J115" s="26"/>
      <x:c r="K115" s="27" t="str">
        <x:f>IF(OR(B115="",C115=""),"",IFERROR(VLOOKUP(B115&amp;"|"&amp;C115,'Fit Scoring'!$A$4:$K$203,11,FALSE),""))</x:f>
      </x:c>
      <x:c r="L115" s="26"/>
      <x:c r="M115" s="26"/>
      <x:c r="N115" s="25"/>
      <x:c r="O115" s="25" t="str">
        <x:f>IF(N115&lt;&gt;"",N115+7,"")</x:f>
      </x:c>
      <x:c r="P115" s="26"/>
      <x:c r="Q115" s="26"/>
    </x:row>
    <x:row r="116">
      <x:c r="A116" s="25"/>
      <x:c r="B116" s="26"/>
      <x:c r="C116" s="26"/>
      <x:c r="D116" s="26"/>
      <x:c r="E116" s="26"/>
      <x:c r="F116" s="26"/>
      <x:c r="G116" s="26"/>
      <x:c r="H116" s="25"/>
      <x:c r="I116" s="26"/>
      <x:c r="J116" s="26"/>
      <x:c r="K116" s="27" t="str">
        <x:f>IF(OR(B116="",C116=""),"",IFERROR(VLOOKUP(B116&amp;"|"&amp;C116,'Fit Scoring'!$A$4:$K$203,11,FALSE),""))</x:f>
      </x:c>
      <x:c r="L116" s="26"/>
      <x:c r="M116" s="26"/>
      <x:c r="N116" s="25"/>
      <x:c r="O116" s="25" t="str">
        <x:f>IF(N116&lt;&gt;"",N116+7,"")</x:f>
      </x:c>
      <x:c r="P116" s="26"/>
      <x:c r="Q116" s="26"/>
    </x:row>
    <x:row r="117">
      <x:c r="A117" s="25"/>
      <x:c r="B117" s="26"/>
      <x:c r="C117" s="26"/>
      <x:c r="D117" s="26"/>
      <x:c r="E117" s="26"/>
      <x:c r="F117" s="26"/>
      <x:c r="G117" s="26"/>
      <x:c r="H117" s="25"/>
      <x:c r="I117" s="26"/>
      <x:c r="J117" s="26"/>
      <x:c r="K117" s="27" t="str">
        <x:f>IF(OR(B117="",C117=""),"",IFERROR(VLOOKUP(B117&amp;"|"&amp;C117,'Fit Scoring'!$A$4:$K$203,11,FALSE),""))</x:f>
      </x:c>
      <x:c r="L117" s="26"/>
      <x:c r="M117" s="26"/>
      <x:c r="N117" s="25"/>
      <x:c r="O117" s="25" t="str">
        <x:f>IF(N117&lt;&gt;"",N117+7,"")</x:f>
      </x:c>
      <x:c r="P117" s="26"/>
      <x:c r="Q117" s="26"/>
    </x:row>
    <x:row r="118">
      <x:c r="A118" s="25"/>
      <x:c r="B118" s="26"/>
      <x:c r="C118" s="26"/>
      <x:c r="D118" s="26"/>
      <x:c r="E118" s="26"/>
      <x:c r="F118" s="26"/>
      <x:c r="G118" s="26"/>
      <x:c r="H118" s="25"/>
      <x:c r="I118" s="26"/>
      <x:c r="J118" s="26"/>
      <x:c r="K118" s="27" t="str">
        <x:f>IF(OR(B118="",C118=""),"",IFERROR(VLOOKUP(B118&amp;"|"&amp;C118,'Fit Scoring'!$A$4:$K$203,11,FALSE),""))</x:f>
      </x:c>
      <x:c r="L118" s="26"/>
      <x:c r="M118" s="26"/>
      <x:c r="N118" s="25"/>
      <x:c r="O118" s="25" t="str">
        <x:f>IF(N118&lt;&gt;"",N118+7,"")</x:f>
      </x:c>
      <x:c r="P118" s="26"/>
      <x:c r="Q118" s="26"/>
    </x:row>
    <x:row r="119">
      <x:c r="A119" s="25"/>
      <x:c r="B119" s="26"/>
      <x:c r="C119" s="26"/>
      <x:c r="D119" s="26"/>
      <x:c r="E119" s="26"/>
      <x:c r="F119" s="26"/>
      <x:c r="G119" s="26"/>
      <x:c r="H119" s="25"/>
      <x:c r="I119" s="26"/>
      <x:c r="J119" s="26"/>
      <x:c r="K119" s="27" t="str">
        <x:f>IF(OR(B119="",C119=""),"",IFERROR(VLOOKUP(B119&amp;"|"&amp;C119,'Fit Scoring'!$A$4:$K$203,11,FALSE),""))</x:f>
      </x:c>
      <x:c r="L119" s="26"/>
      <x:c r="M119" s="26"/>
      <x:c r="N119" s="25"/>
      <x:c r="O119" s="25" t="str">
        <x:f>IF(N119&lt;&gt;"",N119+7,"")</x:f>
      </x:c>
      <x:c r="P119" s="26"/>
      <x:c r="Q119" s="26"/>
    </x:row>
    <x:row r="120">
      <x:c r="A120" s="25"/>
      <x:c r="B120" s="26"/>
      <x:c r="C120" s="26"/>
      <x:c r="D120" s="26"/>
      <x:c r="E120" s="26"/>
      <x:c r="F120" s="26"/>
      <x:c r="G120" s="26"/>
      <x:c r="H120" s="25"/>
      <x:c r="I120" s="26"/>
      <x:c r="J120" s="26"/>
      <x:c r="K120" s="27" t="str">
        <x:f>IF(OR(B120="",C120=""),"",IFERROR(VLOOKUP(B120&amp;"|"&amp;C120,'Fit Scoring'!$A$4:$K$203,11,FALSE),""))</x:f>
      </x:c>
      <x:c r="L120" s="26"/>
      <x:c r="M120" s="26"/>
      <x:c r="N120" s="25"/>
      <x:c r="O120" s="25" t="str">
        <x:f>IF(N120&lt;&gt;"",N120+7,"")</x:f>
      </x:c>
      <x:c r="P120" s="26"/>
      <x:c r="Q120" s="26"/>
    </x:row>
    <x:row r="121">
      <x:c r="A121" s="25"/>
      <x:c r="B121" s="26"/>
      <x:c r="C121" s="26"/>
      <x:c r="D121" s="26"/>
      <x:c r="E121" s="26"/>
      <x:c r="F121" s="26"/>
      <x:c r="G121" s="26"/>
      <x:c r="H121" s="25"/>
      <x:c r="I121" s="26"/>
      <x:c r="J121" s="26"/>
      <x:c r="K121" s="27" t="str">
        <x:f>IF(OR(B121="",C121=""),"",IFERROR(VLOOKUP(B121&amp;"|"&amp;C121,'Fit Scoring'!$A$4:$K$203,11,FALSE),""))</x:f>
      </x:c>
      <x:c r="L121" s="26"/>
      <x:c r="M121" s="26"/>
      <x:c r="N121" s="25"/>
      <x:c r="O121" s="25" t="str">
        <x:f>IF(N121&lt;&gt;"",N121+7,"")</x:f>
      </x:c>
      <x:c r="P121" s="26"/>
      <x:c r="Q121" s="26"/>
    </x:row>
    <x:row r="122">
      <x:c r="A122" s="25"/>
      <x:c r="B122" s="26"/>
      <x:c r="C122" s="26"/>
      <x:c r="D122" s="26"/>
      <x:c r="E122" s="26"/>
      <x:c r="F122" s="26"/>
      <x:c r="G122" s="26"/>
      <x:c r="H122" s="25"/>
      <x:c r="I122" s="26"/>
      <x:c r="J122" s="26"/>
      <x:c r="K122" s="27" t="str">
        <x:f>IF(OR(B122="",C122=""),"",IFERROR(VLOOKUP(B122&amp;"|"&amp;C122,'Fit Scoring'!$A$4:$K$203,11,FALSE),""))</x:f>
      </x:c>
      <x:c r="L122" s="26"/>
      <x:c r="M122" s="26"/>
      <x:c r="N122" s="25"/>
      <x:c r="O122" s="25" t="str">
        <x:f>IF(N122&lt;&gt;"",N122+7,"")</x:f>
      </x:c>
      <x:c r="P122" s="26"/>
      <x:c r="Q122" s="26"/>
    </x:row>
    <x:row r="123">
      <x:c r="A123" s="25"/>
      <x:c r="B123" s="26"/>
      <x:c r="C123" s="26"/>
      <x:c r="D123" s="26"/>
      <x:c r="E123" s="26"/>
      <x:c r="F123" s="26"/>
      <x:c r="G123" s="26"/>
      <x:c r="H123" s="25"/>
      <x:c r="I123" s="26"/>
      <x:c r="J123" s="26"/>
      <x:c r="K123" s="27" t="str">
        <x:f>IF(OR(B123="",C123=""),"",IFERROR(VLOOKUP(B123&amp;"|"&amp;C123,'Fit Scoring'!$A$4:$K$203,11,FALSE),""))</x:f>
      </x:c>
      <x:c r="L123" s="26"/>
      <x:c r="M123" s="26"/>
      <x:c r="N123" s="25"/>
      <x:c r="O123" s="25" t="str">
        <x:f>IF(N123&lt;&gt;"",N123+7,"")</x:f>
      </x:c>
      <x:c r="P123" s="26"/>
      <x:c r="Q123" s="26"/>
    </x:row>
    <x:row r="124">
      <x:c r="A124" s="25"/>
      <x:c r="B124" s="26"/>
      <x:c r="C124" s="26"/>
      <x:c r="D124" s="26"/>
      <x:c r="E124" s="26"/>
      <x:c r="F124" s="26"/>
      <x:c r="G124" s="26"/>
      <x:c r="H124" s="25"/>
      <x:c r="I124" s="26"/>
      <x:c r="J124" s="26"/>
      <x:c r="K124" s="27" t="str">
        <x:f>IF(OR(B124="",C124=""),"",IFERROR(VLOOKUP(B124&amp;"|"&amp;C124,'Fit Scoring'!$A$4:$K$203,11,FALSE),""))</x:f>
      </x:c>
      <x:c r="L124" s="26"/>
      <x:c r="M124" s="26"/>
      <x:c r="N124" s="25"/>
      <x:c r="O124" s="25" t="str">
        <x:f>IF(N124&lt;&gt;"",N124+7,"")</x:f>
      </x:c>
      <x:c r="P124" s="26"/>
      <x:c r="Q124" s="26"/>
    </x:row>
    <x:row r="125">
      <x:c r="A125" s="25"/>
      <x:c r="B125" s="26"/>
      <x:c r="C125" s="26"/>
      <x:c r="D125" s="26"/>
      <x:c r="E125" s="26"/>
      <x:c r="F125" s="26"/>
      <x:c r="G125" s="26"/>
      <x:c r="H125" s="25"/>
      <x:c r="I125" s="26"/>
      <x:c r="J125" s="26"/>
      <x:c r="K125" s="27" t="str">
        <x:f>IF(OR(B125="",C125=""),"",IFERROR(VLOOKUP(B125&amp;"|"&amp;C125,'Fit Scoring'!$A$4:$K$203,11,FALSE),""))</x:f>
      </x:c>
      <x:c r="L125" s="26"/>
      <x:c r="M125" s="26"/>
      <x:c r="N125" s="25"/>
      <x:c r="O125" s="25" t="str">
        <x:f>IF(N125&lt;&gt;"",N125+7,"")</x:f>
      </x:c>
      <x:c r="P125" s="26"/>
      <x:c r="Q125" s="26"/>
    </x:row>
    <x:row r="126">
      <x:c r="A126" s="25"/>
      <x:c r="B126" s="26"/>
      <x:c r="C126" s="26"/>
      <x:c r="D126" s="26"/>
      <x:c r="E126" s="26"/>
      <x:c r="F126" s="26"/>
      <x:c r="G126" s="26"/>
      <x:c r="H126" s="25"/>
      <x:c r="I126" s="26"/>
      <x:c r="J126" s="26"/>
      <x:c r="K126" s="27" t="str">
        <x:f>IF(OR(B126="",C126=""),"",IFERROR(VLOOKUP(B126&amp;"|"&amp;C126,'Fit Scoring'!$A$4:$K$203,11,FALSE),""))</x:f>
      </x:c>
      <x:c r="L126" s="26"/>
      <x:c r="M126" s="26"/>
      <x:c r="N126" s="25"/>
      <x:c r="O126" s="25" t="str">
        <x:f>IF(N126&lt;&gt;"",N126+7,"")</x:f>
      </x:c>
      <x:c r="P126" s="26"/>
      <x:c r="Q126" s="26"/>
    </x:row>
    <x:row r="127">
      <x:c r="A127" s="25"/>
      <x:c r="B127" s="26"/>
      <x:c r="C127" s="26"/>
      <x:c r="D127" s="26"/>
      <x:c r="E127" s="26"/>
      <x:c r="F127" s="26"/>
      <x:c r="G127" s="26"/>
      <x:c r="H127" s="25"/>
      <x:c r="I127" s="26"/>
      <x:c r="J127" s="26"/>
      <x:c r="K127" s="27" t="str">
        <x:f>IF(OR(B127="",C127=""),"",IFERROR(VLOOKUP(B127&amp;"|"&amp;C127,'Fit Scoring'!$A$4:$K$203,11,FALSE),""))</x:f>
      </x:c>
      <x:c r="L127" s="26"/>
      <x:c r="M127" s="26"/>
      <x:c r="N127" s="25"/>
      <x:c r="O127" s="25" t="str">
        <x:f>IF(N127&lt;&gt;"",N127+7,"")</x:f>
      </x:c>
      <x:c r="P127" s="26"/>
      <x:c r="Q127" s="26"/>
    </x:row>
    <x:row r="128">
      <x:c r="A128" s="25"/>
      <x:c r="B128" s="26"/>
      <x:c r="C128" s="26"/>
      <x:c r="D128" s="26"/>
      <x:c r="E128" s="26"/>
      <x:c r="F128" s="26"/>
      <x:c r="G128" s="26"/>
      <x:c r="H128" s="25"/>
      <x:c r="I128" s="26"/>
      <x:c r="J128" s="26"/>
      <x:c r="K128" s="27" t="str">
        <x:f>IF(OR(B128="",C128=""),"",IFERROR(VLOOKUP(B128&amp;"|"&amp;C128,'Fit Scoring'!$A$4:$K$203,11,FALSE),""))</x:f>
      </x:c>
      <x:c r="L128" s="26"/>
      <x:c r="M128" s="26"/>
      <x:c r="N128" s="25"/>
      <x:c r="O128" s="25" t="str">
        <x:f>IF(N128&lt;&gt;"",N128+7,"")</x:f>
      </x:c>
      <x:c r="P128" s="26"/>
      <x:c r="Q128" s="26"/>
    </x:row>
    <x:row r="129">
      <x:c r="A129" s="25"/>
      <x:c r="B129" s="26"/>
      <x:c r="C129" s="26"/>
      <x:c r="D129" s="26"/>
      <x:c r="E129" s="26"/>
      <x:c r="F129" s="26"/>
      <x:c r="G129" s="26"/>
      <x:c r="H129" s="25"/>
      <x:c r="I129" s="26"/>
      <x:c r="J129" s="26"/>
      <x:c r="K129" s="27" t="str">
        <x:f>IF(OR(B129="",C129=""),"",IFERROR(VLOOKUP(B129&amp;"|"&amp;C129,'Fit Scoring'!$A$4:$K$203,11,FALSE),""))</x:f>
      </x:c>
      <x:c r="L129" s="26"/>
      <x:c r="M129" s="26"/>
      <x:c r="N129" s="25"/>
      <x:c r="O129" s="25" t="str">
        <x:f>IF(N129&lt;&gt;"",N129+7,"")</x:f>
      </x:c>
      <x:c r="P129" s="26"/>
      <x:c r="Q129" s="26"/>
    </x:row>
    <x:row r="130">
      <x:c r="A130" s="25"/>
      <x:c r="B130" s="26"/>
      <x:c r="C130" s="26"/>
      <x:c r="D130" s="26"/>
      <x:c r="E130" s="26"/>
      <x:c r="F130" s="26"/>
      <x:c r="G130" s="26"/>
      <x:c r="H130" s="25"/>
      <x:c r="I130" s="26"/>
      <x:c r="J130" s="26"/>
      <x:c r="K130" s="27" t="str">
        <x:f>IF(OR(B130="",C130=""),"",IFERROR(VLOOKUP(B130&amp;"|"&amp;C130,'Fit Scoring'!$A$4:$K$203,11,FALSE),""))</x:f>
      </x:c>
      <x:c r="L130" s="26"/>
      <x:c r="M130" s="26"/>
      <x:c r="N130" s="25"/>
      <x:c r="O130" s="25" t="str">
        <x:f>IF(N130&lt;&gt;"",N130+7,"")</x:f>
      </x:c>
      <x:c r="P130" s="26"/>
      <x:c r="Q130" s="26"/>
    </x:row>
    <x:row r="131">
      <x:c r="A131" s="25"/>
      <x:c r="B131" s="26"/>
      <x:c r="C131" s="26"/>
      <x:c r="D131" s="26"/>
      <x:c r="E131" s="26"/>
      <x:c r="F131" s="26"/>
      <x:c r="G131" s="26"/>
      <x:c r="H131" s="25"/>
      <x:c r="I131" s="26"/>
      <x:c r="J131" s="26"/>
      <x:c r="K131" s="27" t="str">
        <x:f>IF(OR(B131="",C131=""),"",IFERROR(VLOOKUP(B131&amp;"|"&amp;C131,'Fit Scoring'!$A$4:$K$203,11,FALSE),""))</x:f>
      </x:c>
      <x:c r="L131" s="26"/>
      <x:c r="M131" s="26"/>
      <x:c r="N131" s="25"/>
      <x:c r="O131" s="25" t="str">
        <x:f>IF(N131&lt;&gt;"",N131+7,"")</x:f>
      </x:c>
      <x:c r="P131" s="26"/>
      <x:c r="Q131" s="26"/>
    </x:row>
    <x:row r="132">
      <x:c r="A132" s="25"/>
      <x:c r="B132" s="26"/>
      <x:c r="C132" s="26"/>
      <x:c r="D132" s="26"/>
      <x:c r="E132" s="26"/>
      <x:c r="F132" s="26"/>
      <x:c r="G132" s="26"/>
      <x:c r="H132" s="25"/>
      <x:c r="I132" s="26"/>
      <x:c r="J132" s="26"/>
      <x:c r="K132" s="27" t="str">
        <x:f>IF(OR(B132="",C132=""),"",IFERROR(VLOOKUP(B132&amp;"|"&amp;C132,'Fit Scoring'!$A$4:$K$203,11,FALSE),""))</x:f>
      </x:c>
      <x:c r="L132" s="26"/>
      <x:c r="M132" s="26"/>
      <x:c r="N132" s="25"/>
      <x:c r="O132" s="25" t="str">
        <x:f>IF(N132&lt;&gt;"",N132+7,"")</x:f>
      </x:c>
      <x:c r="P132" s="26"/>
      <x:c r="Q132" s="26"/>
    </x:row>
    <x:row r="133">
      <x:c r="A133" s="25"/>
      <x:c r="B133" s="26"/>
      <x:c r="C133" s="26"/>
      <x:c r="D133" s="26"/>
      <x:c r="E133" s="26"/>
      <x:c r="F133" s="26"/>
      <x:c r="G133" s="26"/>
      <x:c r="H133" s="25"/>
      <x:c r="I133" s="26"/>
      <x:c r="J133" s="26"/>
      <x:c r="K133" s="27" t="str">
        <x:f>IF(OR(B133="",C133=""),"",IFERROR(VLOOKUP(B133&amp;"|"&amp;C133,'Fit Scoring'!$A$4:$K$203,11,FALSE),""))</x:f>
      </x:c>
      <x:c r="L133" s="26"/>
      <x:c r="M133" s="26"/>
      <x:c r="N133" s="25"/>
      <x:c r="O133" s="25" t="str">
        <x:f>IF(N133&lt;&gt;"",N133+7,"")</x:f>
      </x:c>
      <x:c r="P133" s="26"/>
      <x:c r="Q133" s="26"/>
    </x:row>
    <x:row r="134">
      <x:c r="A134" s="25"/>
      <x:c r="B134" s="26"/>
      <x:c r="C134" s="26"/>
      <x:c r="D134" s="26"/>
      <x:c r="E134" s="26"/>
      <x:c r="F134" s="26"/>
      <x:c r="G134" s="26"/>
      <x:c r="H134" s="25"/>
      <x:c r="I134" s="26"/>
      <x:c r="J134" s="26"/>
      <x:c r="K134" s="27" t="str">
        <x:f>IF(OR(B134="",C134=""),"",IFERROR(VLOOKUP(B134&amp;"|"&amp;C134,'Fit Scoring'!$A$4:$K$203,11,FALSE),""))</x:f>
      </x:c>
      <x:c r="L134" s="26"/>
      <x:c r="M134" s="26"/>
      <x:c r="N134" s="25"/>
      <x:c r="O134" s="25" t="str">
        <x:f>IF(N134&lt;&gt;"",N134+7,"")</x:f>
      </x:c>
      <x:c r="P134" s="26"/>
      <x:c r="Q134" s="26"/>
    </x:row>
    <x:row r="135">
      <x:c r="A135" s="25"/>
      <x:c r="B135" s="26"/>
      <x:c r="C135" s="26"/>
      <x:c r="D135" s="26"/>
      <x:c r="E135" s="26"/>
      <x:c r="F135" s="26"/>
      <x:c r="G135" s="26"/>
      <x:c r="H135" s="25"/>
      <x:c r="I135" s="26"/>
      <x:c r="J135" s="26"/>
      <x:c r="K135" s="27" t="str">
        <x:f>IF(OR(B135="",C135=""),"",IFERROR(VLOOKUP(B135&amp;"|"&amp;C135,'Fit Scoring'!$A$4:$K$203,11,FALSE),""))</x:f>
      </x:c>
      <x:c r="L135" s="26"/>
      <x:c r="M135" s="26"/>
      <x:c r="N135" s="25"/>
      <x:c r="O135" s="25" t="str">
        <x:f>IF(N135&lt;&gt;"",N135+7,"")</x:f>
      </x:c>
      <x:c r="P135" s="26"/>
      <x:c r="Q135" s="26"/>
    </x:row>
    <x:row r="136">
      <x:c r="A136" s="25"/>
      <x:c r="B136" s="26"/>
      <x:c r="C136" s="26"/>
      <x:c r="D136" s="26"/>
      <x:c r="E136" s="26"/>
      <x:c r="F136" s="26"/>
      <x:c r="G136" s="26"/>
      <x:c r="H136" s="25"/>
      <x:c r="I136" s="26"/>
      <x:c r="J136" s="26"/>
      <x:c r="K136" s="27" t="str">
        <x:f>IF(OR(B136="",C136=""),"",IFERROR(VLOOKUP(B136&amp;"|"&amp;C136,'Fit Scoring'!$A$4:$K$203,11,FALSE),""))</x:f>
      </x:c>
      <x:c r="L136" s="26"/>
      <x:c r="M136" s="26"/>
      <x:c r="N136" s="25"/>
      <x:c r="O136" s="25" t="str">
        <x:f>IF(N136&lt;&gt;"",N136+7,"")</x:f>
      </x:c>
      <x:c r="P136" s="26"/>
      <x:c r="Q136" s="26"/>
    </x:row>
    <x:row r="137">
      <x:c r="A137" s="25"/>
      <x:c r="B137" s="26"/>
      <x:c r="C137" s="26"/>
      <x:c r="D137" s="26"/>
      <x:c r="E137" s="26"/>
      <x:c r="F137" s="26"/>
      <x:c r="G137" s="26"/>
      <x:c r="H137" s="25"/>
      <x:c r="I137" s="26"/>
      <x:c r="J137" s="26"/>
      <x:c r="K137" s="27" t="str">
        <x:f>IF(OR(B137="",C137=""),"",IFERROR(VLOOKUP(B137&amp;"|"&amp;C137,'Fit Scoring'!$A$4:$K$203,11,FALSE),""))</x:f>
      </x:c>
      <x:c r="L137" s="26"/>
      <x:c r="M137" s="26"/>
      <x:c r="N137" s="25"/>
      <x:c r="O137" s="25" t="str">
        <x:f>IF(N137&lt;&gt;"",N137+7,"")</x:f>
      </x:c>
      <x:c r="P137" s="26"/>
      <x:c r="Q137" s="26"/>
    </x:row>
    <x:row r="138">
      <x:c r="A138" s="25"/>
      <x:c r="B138" s="26"/>
      <x:c r="C138" s="26"/>
      <x:c r="D138" s="26"/>
      <x:c r="E138" s="26"/>
      <x:c r="F138" s="26"/>
      <x:c r="G138" s="26"/>
      <x:c r="H138" s="25"/>
      <x:c r="I138" s="26"/>
      <x:c r="J138" s="26"/>
      <x:c r="K138" s="27" t="str">
        <x:f>IF(OR(B138="",C138=""),"",IFERROR(VLOOKUP(B138&amp;"|"&amp;C138,'Fit Scoring'!$A$4:$K$203,11,FALSE),""))</x:f>
      </x:c>
      <x:c r="L138" s="26"/>
      <x:c r="M138" s="26"/>
      <x:c r="N138" s="25"/>
      <x:c r="O138" s="25" t="str">
        <x:f>IF(N138&lt;&gt;"",N138+7,"")</x:f>
      </x:c>
      <x:c r="P138" s="26"/>
      <x:c r="Q138" s="26"/>
    </x:row>
    <x:row r="139">
      <x:c r="A139" s="25"/>
      <x:c r="B139" s="26"/>
      <x:c r="C139" s="26"/>
      <x:c r="D139" s="26"/>
      <x:c r="E139" s="26"/>
      <x:c r="F139" s="26"/>
      <x:c r="G139" s="26"/>
      <x:c r="H139" s="25"/>
      <x:c r="I139" s="26"/>
      <x:c r="J139" s="26"/>
      <x:c r="K139" s="27" t="str">
        <x:f>IF(OR(B139="",C139=""),"",IFERROR(VLOOKUP(B139&amp;"|"&amp;C139,'Fit Scoring'!$A$4:$K$203,11,FALSE),""))</x:f>
      </x:c>
      <x:c r="L139" s="26"/>
      <x:c r="M139" s="26"/>
      <x:c r="N139" s="25"/>
      <x:c r="O139" s="25" t="str">
        <x:f>IF(N139&lt;&gt;"",N139+7,"")</x:f>
      </x:c>
      <x:c r="P139" s="26"/>
      <x:c r="Q139" s="26"/>
    </x:row>
    <x:row r="140">
      <x:c r="A140" s="25"/>
      <x:c r="B140" s="26"/>
      <x:c r="C140" s="26"/>
      <x:c r="D140" s="26"/>
      <x:c r="E140" s="26"/>
      <x:c r="F140" s="26"/>
      <x:c r="G140" s="26"/>
      <x:c r="H140" s="25"/>
      <x:c r="I140" s="26"/>
      <x:c r="J140" s="26"/>
      <x:c r="K140" s="27" t="str">
        <x:f>IF(OR(B140="",C140=""),"",IFERROR(VLOOKUP(B140&amp;"|"&amp;C140,'Fit Scoring'!$A$4:$K$203,11,FALSE),""))</x:f>
      </x:c>
      <x:c r="L140" s="26"/>
      <x:c r="M140" s="26"/>
      <x:c r="N140" s="25"/>
      <x:c r="O140" s="25" t="str">
        <x:f>IF(N140&lt;&gt;"",N140+7,"")</x:f>
      </x:c>
      <x:c r="P140" s="26"/>
      <x:c r="Q140" s="26"/>
    </x:row>
    <x:row r="141">
      <x:c r="A141" s="25"/>
      <x:c r="B141" s="26"/>
      <x:c r="C141" s="26"/>
      <x:c r="D141" s="26"/>
      <x:c r="E141" s="26"/>
      <x:c r="F141" s="26"/>
      <x:c r="G141" s="26"/>
      <x:c r="H141" s="25"/>
      <x:c r="I141" s="26"/>
      <x:c r="J141" s="26"/>
      <x:c r="K141" s="27" t="str">
        <x:f>IF(OR(B141="",C141=""),"",IFERROR(VLOOKUP(B141&amp;"|"&amp;C141,'Fit Scoring'!$A$4:$K$203,11,FALSE),""))</x:f>
      </x:c>
      <x:c r="L141" s="26"/>
      <x:c r="M141" s="26"/>
      <x:c r="N141" s="25"/>
      <x:c r="O141" s="25" t="str">
        <x:f>IF(N141&lt;&gt;"",N141+7,"")</x:f>
      </x:c>
      <x:c r="P141" s="26"/>
      <x:c r="Q141" s="26"/>
    </x:row>
    <x:row r="142">
      <x:c r="A142" s="25"/>
      <x:c r="B142" s="26"/>
      <x:c r="C142" s="26"/>
      <x:c r="D142" s="26"/>
      <x:c r="E142" s="26"/>
      <x:c r="F142" s="26"/>
      <x:c r="G142" s="26"/>
      <x:c r="H142" s="25"/>
      <x:c r="I142" s="26"/>
      <x:c r="J142" s="26"/>
      <x:c r="K142" s="27" t="str">
        <x:f>IF(OR(B142="",C142=""),"",IFERROR(VLOOKUP(B142&amp;"|"&amp;C142,'Fit Scoring'!$A$4:$K$203,11,FALSE),""))</x:f>
      </x:c>
      <x:c r="L142" s="26"/>
      <x:c r="M142" s="26"/>
      <x:c r="N142" s="25"/>
      <x:c r="O142" s="25" t="str">
        <x:f>IF(N142&lt;&gt;"",N142+7,"")</x:f>
      </x:c>
      <x:c r="P142" s="26"/>
      <x:c r="Q142" s="26"/>
    </x:row>
    <x:row r="143">
      <x:c r="A143" s="25"/>
      <x:c r="B143" s="26"/>
      <x:c r="C143" s="26"/>
      <x:c r="D143" s="26"/>
      <x:c r="E143" s="26"/>
      <x:c r="F143" s="26"/>
      <x:c r="G143" s="26"/>
      <x:c r="H143" s="25"/>
      <x:c r="I143" s="26"/>
      <x:c r="J143" s="26"/>
      <x:c r="K143" s="27" t="str">
        <x:f>IF(OR(B143="",C143=""),"",IFERROR(VLOOKUP(B143&amp;"|"&amp;C143,'Fit Scoring'!$A$4:$K$203,11,FALSE),""))</x:f>
      </x:c>
      <x:c r="L143" s="26"/>
      <x:c r="M143" s="26"/>
      <x:c r="N143" s="25"/>
      <x:c r="O143" s="25" t="str">
        <x:f>IF(N143&lt;&gt;"",N143+7,"")</x:f>
      </x:c>
      <x:c r="P143" s="26"/>
      <x:c r="Q143" s="26"/>
    </x:row>
    <x:row r="144">
      <x:c r="A144" s="25"/>
      <x:c r="B144" s="26"/>
      <x:c r="C144" s="26"/>
      <x:c r="D144" s="26"/>
      <x:c r="E144" s="26"/>
      <x:c r="F144" s="26"/>
      <x:c r="G144" s="26"/>
      <x:c r="H144" s="25"/>
      <x:c r="I144" s="26"/>
      <x:c r="J144" s="26"/>
      <x:c r="K144" s="27" t="str">
        <x:f>IF(OR(B144="",C144=""),"",IFERROR(VLOOKUP(B144&amp;"|"&amp;C144,'Fit Scoring'!$A$4:$K$203,11,FALSE),""))</x:f>
      </x:c>
      <x:c r="L144" s="26"/>
      <x:c r="M144" s="26"/>
      <x:c r="N144" s="25"/>
      <x:c r="O144" s="25" t="str">
        <x:f>IF(N144&lt;&gt;"",N144+7,"")</x:f>
      </x:c>
      <x:c r="P144" s="26"/>
      <x:c r="Q144" s="26"/>
    </x:row>
    <x:row r="145">
      <x:c r="A145" s="25"/>
      <x:c r="B145" s="26"/>
      <x:c r="C145" s="26"/>
      <x:c r="D145" s="26"/>
      <x:c r="E145" s="26"/>
      <x:c r="F145" s="26"/>
      <x:c r="G145" s="26"/>
      <x:c r="H145" s="25"/>
      <x:c r="I145" s="26"/>
      <x:c r="J145" s="26"/>
      <x:c r="K145" s="27" t="str">
        <x:f>IF(OR(B145="",C145=""),"",IFERROR(VLOOKUP(B145&amp;"|"&amp;C145,'Fit Scoring'!$A$4:$K$203,11,FALSE),""))</x:f>
      </x:c>
      <x:c r="L145" s="26"/>
      <x:c r="M145" s="26"/>
      <x:c r="N145" s="25"/>
      <x:c r="O145" s="25" t="str">
        <x:f>IF(N145&lt;&gt;"",N145+7,"")</x:f>
      </x:c>
      <x:c r="P145" s="26"/>
      <x:c r="Q145" s="26"/>
    </x:row>
    <x:row r="146">
      <x:c r="A146" s="25"/>
      <x:c r="B146" s="26"/>
      <x:c r="C146" s="26"/>
      <x:c r="D146" s="26"/>
      <x:c r="E146" s="26"/>
      <x:c r="F146" s="26"/>
      <x:c r="G146" s="26"/>
      <x:c r="H146" s="25"/>
      <x:c r="I146" s="26"/>
      <x:c r="J146" s="26"/>
      <x:c r="K146" s="27" t="str">
        <x:f>IF(OR(B146="",C146=""),"",IFERROR(VLOOKUP(B146&amp;"|"&amp;C146,'Fit Scoring'!$A$4:$K$203,11,FALSE),""))</x:f>
      </x:c>
      <x:c r="L146" s="26"/>
      <x:c r="M146" s="26"/>
      <x:c r="N146" s="25"/>
      <x:c r="O146" s="25" t="str">
        <x:f>IF(N146&lt;&gt;"",N146+7,"")</x:f>
      </x:c>
      <x:c r="P146" s="26"/>
      <x:c r="Q146" s="26"/>
    </x:row>
    <x:row r="147">
      <x:c r="A147" s="25"/>
      <x:c r="B147" s="26"/>
      <x:c r="C147" s="26"/>
      <x:c r="D147" s="26"/>
      <x:c r="E147" s="26"/>
      <x:c r="F147" s="26"/>
      <x:c r="G147" s="26"/>
      <x:c r="H147" s="25"/>
      <x:c r="I147" s="26"/>
      <x:c r="J147" s="26"/>
      <x:c r="K147" s="27" t="str">
        <x:f>IF(OR(B147="",C147=""),"",IFERROR(VLOOKUP(B147&amp;"|"&amp;C147,'Fit Scoring'!$A$4:$K$203,11,FALSE),""))</x:f>
      </x:c>
      <x:c r="L147" s="26"/>
      <x:c r="M147" s="26"/>
      <x:c r="N147" s="25"/>
      <x:c r="O147" s="25" t="str">
        <x:f>IF(N147&lt;&gt;"",N147+7,"")</x:f>
      </x:c>
      <x:c r="P147" s="26"/>
      <x:c r="Q147" s="26"/>
    </x:row>
    <x:row r="148">
      <x:c r="A148" s="25"/>
      <x:c r="B148" s="26"/>
      <x:c r="C148" s="26"/>
      <x:c r="D148" s="26"/>
      <x:c r="E148" s="26"/>
      <x:c r="F148" s="26"/>
      <x:c r="G148" s="26"/>
      <x:c r="H148" s="25"/>
      <x:c r="I148" s="26"/>
      <x:c r="J148" s="26"/>
      <x:c r="K148" s="27" t="str">
        <x:f>IF(OR(B148="",C148=""),"",IFERROR(VLOOKUP(B148&amp;"|"&amp;C148,'Fit Scoring'!$A$4:$K$203,11,FALSE),""))</x:f>
      </x:c>
      <x:c r="L148" s="26"/>
      <x:c r="M148" s="26"/>
      <x:c r="N148" s="25"/>
      <x:c r="O148" s="25" t="str">
        <x:f>IF(N148&lt;&gt;"",N148+7,"")</x:f>
      </x:c>
      <x:c r="P148" s="26"/>
      <x:c r="Q148" s="26"/>
    </x:row>
    <x:row r="149">
      <x:c r="A149" s="25"/>
      <x:c r="B149" s="26"/>
      <x:c r="C149" s="26"/>
      <x:c r="D149" s="26"/>
      <x:c r="E149" s="26"/>
      <x:c r="F149" s="26"/>
      <x:c r="G149" s="26"/>
      <x:c r="H149" s="25"/>
      <x:c r="I149" s="26"/>
      <x:c r="J149" s="26"/>
      <x:c r="K149" s="27" t="str">
        <x:f>IF(OR(B149="",C149=""),"",IFERROR(VLOOKUP(B149&amp;"|"&amp;C149,'Fit Scoring'!$A$4:$K$203,11,FALSE),""))</x:f>
      </x:c>
      <x:c r="L149" s="26"/>
      <x:c r="M149" s="26"/>
      <x:c r="N149" s="25"/>
      <x:c r="O149" s="25" t="str">
        <x:f>IF(N149&lt;&gt;"",N149+7,"")</x:f>
      </x:c>
      <x:c r="P149" s="26"/>
      <x:c r="Q149" s="26"/>
    </x:row>
    <x:row r="150">
      <x:c r="A150" s="25"/>
      <x:c r="B150" s="26"/>
      <x:c r="C150" s="26"/>
      <x:c r="D150" s="26"/>
      <x:c r="E150" s="26"/>
      <x:c r="F150" s="26"/>
      <x:c r="G150" s="26"/>
      <x:c r="H150" s="25"/>
      <x:c r="I150" s="26"/>
      <x:c r="J150" s="26"/>
      <x:c r="K150" s="27" t="str">
        <x:f>IF(OR(B150="",C150=""),"",IFERROR(VLOOKUP(B150&amp;"|"&amp;C150,'Fit Scoring'!$A$4:$K$203,11,FALSE),""))</x:f>
      </x:c>
      <x:c r="L150" s="26"/>
      <x:c r="M150" s="26"/>
      <x:c r="N150" s="25"/>
      <x:c r="O150" s="25" t="str">
        <x:f>IF(N150&lt;&gt;"",N150+7,"")</x:f>
      </x:c>
      <x:c r="P150" s="26"/>
      <x:c r="Q150" s="26"/>
    </x:row>
    <x:row r="151">
      <x:c r="A151" s="25"/>
      <x:c r="B151" s="26"/>
      <x:c r="C151" s="26"/>
      <x:c r="D151" s="26"/>
      <x:c r="E151" s="26"/>
      <x:c r="F151" s="26"/>
      <x:c r="G151" s="26"/>
      <x:c r="H151" s="25"/>
      <x:c r="I151" s="26"/>
      <x:c r="J151" s="26"/>
      <x:c r="K151" s="27" t="str">
        <x:f>IF(OR(B151="",C151=""),"",IFERROR(VLOOKUP(B151&amp;"|"&amp;C151,'Fit Scoring'!$A$4:$K$203,11,FALSE),""))</x:f>
      </x:c>
      <x:c r="L151" s="26"/>
      <x:c r="M151" s="26"/>
      <x:c r="N151" s="25"/>
      <x:c r="O151" s="25" t="str">
        <x:f>IF(N151&lt;&gt;"",N151+7,"")</x:f>
      </x:c>
      <x:c r="P151" s="26"/>
      <x:c r="Q151" s="26"/>
    </x:row>
    <x:row r="152">
      <x:c r="A152" s="25"/>
      <x:c r="B152" s="26"/>
      <x:c r="C152" s="26"/>
      <x:c r="D152" s="26"/>
      <x:c r="E152" s="26"/>
      <x:c r="F152" s="26"/>
      <x:c r="G152" s="26"/>
      <x:c r="H152" s="25"/>
      <x:c r="I152" s="26"/>
      <x:c r="J152" s="26"/>
      <x:c r="K152" s="27" t="str">
        <x:f>IF(OR(B152="",C152=""),"",IFERROR(VLOOKUP(B152&amp;"|"&amp;C152,'Fit Scoring'!$A$4:$K$203,11,FALSE),""))</x:f>
      </x:c>
      <x:c r="L152" s="26"/>
      <x:c r="M152" s="26"/>
      <x:c r="N152" s="25"/>
      <x:c r="O152" s="25" t="str">
        <x:f>IF(N152&lt;&gt;"",N152+7,"")</x:f>
      </x:c>
      <x:c r="P152" s="26"/>
      <x:c r="Q152" s="26"/>
    </x:row>
    <x:row r="153">
      <x:c r="A153" s="25"/>
      <x:c r="B153" s="26"/>
      <x:c r="C153" s="26"/>
      <x:c r="D153" s="26"/>
      <x:c r="E153" s="26"/>
      <x:c r="F153" s="26"/>
      <x:c r="G153" s="26"/>
      <x:c r="H153" s="25"/>
      <x:c r="I153" s="26"/>
      <x:c r="J153" s="26"/>
      <x:c r="K153" s="27" t="str">
        <x:f>IF(OR(B153="",C153=""),"",IFERROR(VLOOKUP(B153&amp;"|"&amp;C153,'Fit Scoring'!$A$4:$K$203,11,FALSE),""))</x:f>
      </x:c>
      <x:c r="L153" s="26"/>
      <x:c r="M153" s="26"/>
      <x:c r="N153" s="25"/>
      <x:c r="O153" s="25" t="str">
        <x:f>IF(N153&lt;&gt;"",N153+7,"")</x:f>
      </x:c>
      <x:c r="P153" s="26"/>
      <x:c r="Q153" s="26"/>
    </x:row>
    <x:row r="154">
      <x:c r="A154" s="25"/>
      <x:c r="B154" s="26"/>
      <x:c r="C154" s="26"/>
      <x:c r="D154" s="26"/>
      <x:c r="E154" s="26"/>
      <x:c r="F154" s="26"/>
      <x:c r="G154" s="26"/>
      <x:c r="H154" s="25"/>
      <x:c r="I154" s="26"/>
      <x:c r="J154" s="26"/>
      <x:c r="K154" s="27" t="str">
        <x:f>IF(OR(B154="",C154=""),"",IFERROR(VLOOKUP(B154&amp;"|"&amp;C154,'Fit Scoring'!$A$4:$K$203,11,FALSE),""))</x:f>
      </x:c>
      <x:c r="L154" s="26"/>
      <x:c r="M154" s="26"/>
      <x:c r="N154" s="25"/>
      <x:c r="O154" s="25" t="str">
        <x:f>IF(N154&lt;&gt;"",N154+7,"")</x:f>
      </x:c>
      <x:c r="P154" s="26"/>
      <x:c r="Q154" s="26"/>
    </x:row>
    <x:row r="155">
      <x:c r="A155" s="25"/>
      <x:c r="B155" s="26"/>
      <x:c r="C155" s="26"/>
      <x:c r="D155" s="26"/>
      <x:c r="E155" s="26"/>
      <x:c r="F155" s="26"/>
      <x:c r="G155" s="26"/>
      <x:c r="H155" s="25"/>
      <x:c r="I155" s="26"/>
      <x:c r="J155" s="26"/>
      <x:c r="K155" s="27" t="str">
        <x:f>IF(OR(B155="",C155=""),"",IFERROR(VLOOKUP(B155&amp;"|"&amp;C155,'Fit Scoring'!$A$4:$K$203,11,FALSE),""))</x:f>
      </x:c>
      <x:c r="L155" s="26"/>
      <x:c r="M155" s="26"/>
      <x:c r="N155" s="25"/>
      <x:c r="O155" s="25" t="str">
        <x:f>IF(N155&lt;&gt;"",N155+7,"")</x:f>
      </x:c>
      <x:c r="P155" s="26"/>
      <x:c r="Q155" s="26"/>
    </x:row>
    <x:row r="156">
      <x:c r="A156" s="25"/>
      <x:c r="B156" s="26"/>
      <x:c r="C156" s="26"/>
      <x:c r="D156" s="26"/>
      <x:c r="E156" s="26"/>
      <x:c r="F156" s="26"/>
      <x:c r="G156" s="26"/>
      <x:c r="H156" s="25"/>
      <x:c r="I156" s="26"/>
      <x:c r="J156" s="26"/>
      <x:c r="K156" s="27" t="str">
        <x:f>IF(OR(B156="",C156=""),"",IFERROR(VLOOKUP(B156&amp;"|"&amp;C156,'Fit Scoring'!$A$4:$K$203,11,FALSE),""))</x:f>
      </x:c>
      <x:c r="L156" s="26"/>
      <x:c r="M156" s="26"/>
      <x:c r="N156" s="25"/>
      <x:c r="O156" s="25" t="str">
        <x:f>IF(N156&lt;&gt;"",N156+7,"")</x:f>
      </x:c>
      <x:c r="P156" s="26"/>
      <x:c r="Q156" s="26"/>
    </x:row>
    <x:row r="157">
      <x:c r="A157" s="25"/>
      <x:c r="B157" s="26"/>
      <x:c r="C157" s="26"/>
      <x:c r="D157" s="26"/>
      <x:c r="E157" s="26"/>
      <x:c r="F157" s="26"/>
      <x:c r="G157" s="26"/>
      <x:c r="H157" s="25"/>
      <x:c r="I157" s="26"/>
      <x:c r="J157" s="26"/>
      <x:c r="K157" s="27" t="str">
        <x:f>IF(OR(B157="",C157=""),"",IFERROR(VLOOKUP(B157&amp;"|"&amp;C157,'Fit Scoring'!$A$4:$K$203,11,FALSE),""))</x:f>
      </x:c>
      <x:c r="L157" s="26"/>
      <x:c r="M157" s="26"/>
      <x:c r="N157" s="25"/>
      <x:c r="O157" s="25" t="str">
        <x:f>IF(N157&lt;&gt;"",N157+7,"")</x:f>
      </x:c>
      <x:c r="P157" s="26"/>
      <x:c r="Q157" s="26"/>
    </x:row>
    <x:row r="158">
      <x:c r="A158" s="25"/>
      <x:c r="B158" s="26"/>
      <x:c r="C158" s="26"/>
      <x:c r="D158" s="26"/>
      <x:c r="E158" s="26"/>
      <x:c r="F158" s="26"/>
      <x:c r="G158" s="26"/>
      <x:c r="H158" s="25"/>
      <x:c r="I158" s="26"/>
      <x:c r="J158" s="26"/>
      <x:c r="K158" s="27" t="str">
        <x:f>IF(OR(B158="",C158=""),"",IFERROR(VLOOKUP(B158&amp;"|"&amp;C158,'Fit Scoring'!$A$4:$K$203,11,FALSE),""))</x:f>
      </x:c>
      <x:c r="L158" s="26"/>
      <x:c r="M158" s="26"/>
      <x:c r="N158" s="25"/>
      <x:c r="O158" s="25" t="str">
        <x:f>IF(N158&lt;&gt;"",N158+7,"")</x:f>
      </x:c>
      <x:c r="P158" s="26"/>
      <x:c r="Q158" s="26"/>
    </x:row>
    <x:row r="159">
      <x:c r="A159" s="25"/>
      <x:c r="B159" s="26"/>
      <x:c r="C159" s="26"/>
      <x:c r="D159" s="26"/>
      <x:c r="E159" s="26"/>
      <x:c r="F159" s="26"/>
      <x:c r="G159" s="26"/>
      <x:c r="H159" s="25"/>
      <x:c r="I159" s="26"/>
      <x:c r="J159" s="26"/>
      <x:c r="K159" s="27" t="str">
        <x:f>IF(OR(B159="",C159=""),"",IFERROR(VLOOKUP(B159&amp;"|"&amp;C159,'Fit Scoring'!$A$4:$K$203,11,FALSE),""))</x:f>
      </x:c>
      <x:c r="L159" s="26"/>
      <x:c r="M159" s="26"/>
      <x:c r="N159" s="25"/>
      <x:c r="O159" s="25" t="str">
        <x:f>IF(N159&lt;&gt;"",N159+7,"")</x:f>
      </x:c>
      <x:c r="P159" s="26"/>
      <x:c r="Q159" s="26"/>
    </x:row>
    <x:row r="160">
      <x:c r="A160" s="25"/>
      <x:c r="B160" s="26"/>
      <x:c r="C160" s="26"/>
      <x:c r="D160" s="26"/>
      <x:c r="E160" s="26"/>
      <x:c r="F160" s="26"/>
      <x:c r="G160" s="26"/>
      <x:c r="H160" s="25"/>
      <x:c r="I160" s="26"/>
      <x:c r="J160" s="26"/>
      <x:c r="K160" s="27" t="str">
        <x:f>IF(OR(B160="",C160=""),"",IFERROR(VLOOKUP(B160&amp;"|"&amp;C160,'Fit Scoring'!$A$4:$K$203,11,FALSE),""))</x:f>
      </x:c>
      <x:c r="L160" s="26"/>
      <x:c r="M160" s="26"/>
      <x:c r="N160" s="25"/>
      <x:c r="O160" s="25" t="str">
        <x:f>IF(N160&lt;&gt;"",N160+7,"")</x:f>
      </x:c>
      <x:c r="P160" s="26"/>
      <x:c r="Q160" s="26"/>
    </x:row>
    <x:row r="161">
      <x:c r="A161" s="25"/>
      <x:c r="B161" s="26"/>
      <x:c r="C161" s="26"/>
      <x:c r="D161" s="26"/>
      <x:c r="E161" s="26"/>
      <x:c r="F161" s="26"/>
      <x:c r="G161" s="26"/>
      <x:c r="H161" s="25"/>
      <x:c r="I161" s="26"/>
      <x:c r="J161" s="26"/>
      <x:c r="K161" s="27" t="str">
        <x:f>IF(OR(B161="",C161=""),"",IFERROR(VLOOKUP(B161&amp;"|"&amp;C161,'Fit Scoring'!$A$4:$K$203,11,FALSE),""))</x:f>
      </x:c>
      <x:c r="L161" s="26"/>
      <x:c r="M161" s="26"/>
      <x:c r="N161" s="25"/>
      <x:c r="O161" s="25" t="str">
        <x:f>IF(N161&lt;&gt;"",N161+7,"")</x:f>
      </x:c>
      <x:c r="P161" s="26"/>
      <x:c r="Q161" s="26"/>
    </x:row>
    <x:row r="162">
      <x:c r="A162" s="25"/>
      <x:c r="B162" s="26"/>
      <x:c r="C162" s="26"/>
      <x:c r="D162" s="26"/>
      <x:c r="E162" s="26"/>
      <x:c r="F162" s="26"/>
      <x:c r="G162" s="26"/>
      <x:c r="H162" s="25"/>
      <x:c r="I162" s="26"/>
      <x:c r="J162" s="26"/>
      <x:c r="K162" s="27" t="str">
        <x:f>IF(OR(B162="",C162=""),"",IFERROR(VLOOKUP(B162&amp;"|"&amp;C162,'Fit Scoring'!$A$4:$K$203,11,FALSE),""))</x:f>
      </x:c>
      <x:c r="L162" s="26"/>
      <x:c r="M162" s="26"/>
      <x:c r="N162" s="25"/>
      <x:c r="O162" s="25" t="str">
        <x:f>IF(N162&lt;&gt;"",N162+7,"")</x:f>
      </x:c>
      <x:c r="P162" s="26"/>
      <x:c r="Q162" s="26"/>
    </x:row>
    <x:row r="163">
      <x:c r="A163" s="25"/>
      <x:c r="B163" s="26"/>
      <x:c r="C163" s="26"/>
      <x:c r="D163" s="26"/>
      <x:c r="E163" s="26"/>
      <x:c r="F163" s="26"/>
      <x:c r="G163" s="26"/>
      <x:c r="H163" s="25"/>
      <x:c r="I163" s="26"/>
      <x:c r="J163" s="26"/>
      <x:c r="K163" s="27" t="str">
        <x:f>IF(OR(B163="",C163=""),"",IFERROR(VLOOKUP(B163&amp;"|"&amp;C163,'Fit Scoring'!$A$4:$K$203,11,FALSE),""))</x:f>
      </x:c>
      <x:c r="L163" s="26"/>
      <x:c r="M163" s="26"/>
      <x:c r="N163" s="25"/>
      <x:c r="O163" s="25" t="str">
        <x:f>IF(N163&lt;&gt;"",N163+7,"")</x:f>
      </x:c>
      <x:c r="P163" s="26"/>
      <x:c r="Q163" s="26"/>
    </x:row>
    <x:row r="164">
      <x:c r="A164" s="25"/>
      <x:c r="B164" s="26"/>
      <x:c r="C164" s="26"/>
      <x:c r="D164" s="26"/>
      <x:c r="E164" s="26"/>
      <x:c r="F164" s="26"/>
      <x:c r="G164" s="26"/>
      <x:c r="H164" s="25"/>
      <x:c r="I164" s="26"/>
      <x:c r="J164" s="26"/>
      <x:c r="K164" s="27" t="str">
        <x:f>IF(OR(B164="",C164=""),"",IFERROR(VLOOKUP(B164&amp;"|"&amp;C164,'Fit Scoring'!$A$4:$K$203,11,FALSE),""))</x:f>
      </x:c>
      <x:c r="L164" s="26"/>
      <x:c r="M164" s="26"/>
      <x:c r="N164" s="25"/>
      <x:c r="O164" s="25" t="str">
        <x:f>IF(N164&lt;&gt;"",N164+7,"")</x:f>
      </x:c>
      <x:c r="P164" s="26"/>
      <x:c r="Q164" s="26"/>
    </x:row>
    <x:row r="165">
      <x:c r="A165" s="25"/>
      <x:c r="B165" s="26"/>
      <x:c r="C165" s="26"/>
      <x:c r="D165" s="26"/>
      <x:c r="E165" s="26"/>
      <x:c r="F165" s="26"/>
      <x:c r="G165" s="26"/>
      <x:c r="H165" s="25"/>
      <x:c r="I165" s="26"/>
      <x:c r="J165" s="26"/>
      <x:c r="K165" s="27" t="str">
        <x:f>IF(OR(B165="",C165=""),"",IFERROR(VLOOKUP(B165&amp;"|"&amp;C165,'Fit Scoring'!$A$4:$K$203,11,FALSE),""))</x:f>
      </x:c>
      <x:c r="L165" s="26"/>
      <x:c r="M165" s="26"/>
      <x:c r="N165" s="25"/>
      <x:c r="O165" s="25" t="str">
        <x:f>IF(N165&lt;&gt;"",N165+7,"")</x:f>
      </x:c>
      <x:c r="P165" s="26"/>
      <x:c r="Q165" s="26"/>
    </x:row>
    <x:row r="166">
      <x:c r="A166" s="25"/>
      <x:c r="B166" s="26"/>
      <x:c r="C166" s="26"/>
      <x:c r="D166" s="26"/>
      <x:c r="E166" s="26"/>
      <x:c r="F166" s="26"/>
      <x:c r="G166" s="26"/>
      <x:c r="H166" s="25"/>
      <x:c r="I166" s="26"/>
      <x:c r="J166" s="26"/>
      <x:c r="K166" s="27" t="str">
        <x:f>IF(OR(B166="",C166=""),"",IFERROR(VLOOKUP(B166&amp;"|"&amp;C166,'Fit Scoring'!$A$4:$K$203,11,FALSE),""))</x:f>
      </x:c>
      <x:c r="L166" s="26"/>
      <x:c r="M166" s="26"/>
      <x:c r="N166" s="25"/>
      <x:c r="O166" s="25" t="str">
        <x:f>IF(N166&lt;&gt;"",N166+7,"")</x:f>
      </x:c>
      <x:c r="P166" s="26"/>
      <x:c r="Q166" s="26"/>
    </x:row>
    <x:row r="167">
      <x:c r="A167" s="25"/>
      <x:c r="B167" s="26"/>
      <x:c r="C167" s="26"/>
      <x:c r="D167" s="26"/>
      <x:c r="E167" s="26"/>
      <x:c r="F167" s="26"/>
      <x:c r="G167" s="26"/>
      <x:c r="H167" s="25"/>
      <x:c r="I167" s="26"/>
      <x:c r="J167" s="26"/>
      <x:c r="K167" s="27" t="str">
        <x:f>IF(OR(B167="",C167=""),"",IFERROR(VLOOKUP(B167&amp;"|"&amp;C167,'Fit Scoring'!$A$4:$K$203,11,FALSE),""))</x:f>
      </x:c>
      <x:c r="L167" s="26"/>
      <x:c r="M167" s="26"/>
      <x:c r="N167" s="25"/>
      <x:c r="O167" s="25" t="str">
        <x:f>IF(N167&lt;&gt;"",N167+7,"")</x:f>
      </x:c>
      <x:c r="P167" s="26"/>
      <x:c r="Q167" s="26"/>
    </x:row>
    <x:row r="168">
      <x:c r="A168" s="25"/>
      <x:c r="B168" s="26"/>
      <x:c r="C168" s="26"/>
      <x:c r="D168" s="26"/>
      <x:c r="E168" s="26"/>
      <x:c r="F168" s="26"/>
      <x:c r="G168" s="26"/>
      <x:c r="H168" s="25"/>
      <x:c r="I168" s="26"/>
      <x:c r="J168" s="26"/>
      <x:c r="K168" s="27" t="str">
        <x:f>IF(OR(B168="",C168=""),"",IFERROR(VLOOKUP(B168&amp;"|"&amp;C168,'Fit Scoring'!$A$4:$K$203,11,FALSE),""))</x:f>
      </x:c>
      <x:c r="L168" s="26"/>
      <x:c r="M168" s="26"/>
      <x:c r="N168" s="25"/>
      <x:c r="O168" s="25" t="str">
        <x:f>IF(N168&lt;&gt;"",N168+7,"")</x:f>
      </x:c>
      <x:c r="P168" s="26"/>
      <x:c r="Q168" s="26"/>
    </x:row>
    <x:row r="169">
      <x:c r="A169" s="25"/>
      <x:c r="B169" s="26"/>
      <x:c r="C169" s="26"/>
      <x:c r="D169" s="26"/>
      <x:c r="E169" s="26"/>
      <x:c r="F169" s="26"/>
      <x:c r="G169" s="26"/>
      <x:c r="H169" s="25"/>
      <x:c r="I169" s="26"/>
      <x:c r="J169" s="26"/>
      <x:c r="K169" s="27" t="str">
        <x:f>IF(OR(B169="",C169=""),"",IFERROR(VLOOKUP(B169&amp;"|"&amp;C169,'Fit Scoring'!$A$4:$K$203,11,FALSE),""))</x:f>
      </x:c>
      <x:c r="L169" s="26"/>
      <x:c r="M169" s="26"/>
      <x:c r="N169" s="25"/>
      <x:c r="O169" s="25" t="str">
        <x:f>IF(N169&lt;&gt;"",N169+7,"")</x:f>
      </x:c>
      <x:c r="P169" s="26"/>
      <x:c r="Q169" s="26"/>
    </x:row>
    <x:row r="170">
      <x:c r="A170" s="25"/>
      <x:c r="B170" s="26"/>
      <x:c r="C170" s="26"/>
      <x:c r="D170" s="26"/>
      <x:c r="E170" s="26"/>
      <x:c r="F170" s="26"/>
      <x:c r="G170" s="26"/>
      <x:c r="H170" s="25"/>
      <x:c r="I170" s="26"/>
      <x:c r="J170" s="26"/>
      <x:c r="K170" s="27" t="str">
        <x:f>IF(OR(B170="",C170=""),"",IFERROR(VLOOKUP(B170&amp;"|"&amp;C170,'Fit Scoring'!$A$4:$K$203,11,FALSE),""))</x:f>
      </x:c>
      <x:c r="L170" s="26"/>
      <x:c r="M170" s="26"/>
      <x:c r="N170" s="25"/>
      <x:c r="O170" s="25" t="str">
        <x:f>IF(N170&lt;&gt;"",N170+7,"")</x:f>
      </x:c>
      <x:c r="P170" s="26"/>
      <x:c r="Q170" s="26"/>
    </x:row>
    <x:row r="171">
      <x:c r="A171" s="25"/>
      <x:c r="B171" s="26"/>
      <x:c r="C171" s="26"/>
      <x:c r="D171" s="26"/>
      <x:c r="E171" s="26"/>
      <x:c r="F171" s="26"/>
      <x:c r="G171" s="26"/>
      <x:c r="H171" s="25"/>
      <x:c r="I171" s="26"/>
      <x:c r="J171" s="26"/>
      <x:c r="K171" s="27" t="str">
        <x:f>IF(OR(B171="",C171=""),"",IFERROR(VLOOKUP(B171&amp;"|"&amp;C171,'Fit Scoring'!$A$4:$K$203,11,FALSE),""))</x:f>
      </x:c>
      <x:c r="L171" s="26"/>
      <x:c r="M171" s="26"/>
      <x:c r="N171" s="25"/>
      <x:c r="O171" s="25" t="str">
        <x:f>IF(N171&lt;&gt;"",N171+7,"")</x:f>
      </x:c>
      <x:c r="P171" s="26"/>
      <x:c r="Q171" s="26"/>
    </x:row>
    <x:row r="172">
      <x:c r="A172" s="25"/>
      <x:c r="B172" s="26"/>
      <x:c r="C172" s="26"/>
      <x:c r="D172" s="26"/>
      <x:c r="E172" s="26"/>
      <x:c r="F172" s="26"/>
      <x:c r="G172" s="26"/>
      <x:c r="H172" s="25"/>
      <x:c r="I172" s="26"/>
      <x:c r="J172" s="26"/>
      <x:c r="K172" s="27" t="str">
        <x:f>IF(OR(B172="",C172=""),"",IFERROR(VLOOKUP(B172&amp;"|"&amp;C172,'Fit Scoring'!$A$4:$K$203,11,FALSE),""))</x:f>
      </x:c>
      <x:c r="L172" s="26"/>
      <x:c r="M172" s="26"/>
      <x:c r="N172" s="25"/>
      <x:c r="O172" s="25" t="str">
        <x:f>IF(N172&lt;&gt;"",N172+7,"")</x:f>
      </x:c>
      <x:c r="P172" s="26"/>
      <x:c r="Q172" s="26"/>
    </x:row>
    <x:row r="173">
      <x:c r="A173" s="25"/>
      <x:c r="B173" s="26"/>
      <x:c r="C173" s="26"/>
      <x:c r="D173" s="26"/>
      <x:c r="E173" s="26"/>
      <x:c r="F173" s="26"/>
      <x:c r="G173" s="26"/>
      <x:c r="H173" s="25"/>
      <x:c r="I173" s="26"/>
      <x:c r="J173" s="26"/>
      <x:c r="K173" s="27" t="str">
        <x:f>IF(OR(B173="",C173=""),"",IFERROR(VLOOKUP(B173&amp;"|"&amp;C173,'Fit Scoring'!$A$4:$K$203,11,FALSE),""))</x:f>
      </x:c>
      <x:c r="L173" s="26"/>
      <x:c r="M173" s="26"/>
      <x:c r="N173" s="25"/>
      <x:c r="O173" s="25" t="str">
        <x:f>IF(N173&lt;&gt;"",N173+7,"")</x:f>
      </x:c>
      <x:c r="P173" s="26"/>
      <x:c r="Q173" s="26"/>
    </x:row>
    <x:row r="174">
      <x:c r="A174" s="25"/>
      <x:c r="B174" s="26"/>
      <x:c r="C174" s="26"/>
      <x:c r="D174" s="26"/>
      <x:c r="E174" s="26"/>
      <x:c r="F174" s="26"/>
      <x:c r="G174" s="26"/>
      <x:c r="H174" s="25"/>
      <x:c r="I174" s="26"/>
      <x:c r="J174" s="26"/>
      <x:c r="K174" s="27" t="str">
        <x:f>IF(OR(B174="",C174=""),"",IFERROR(VLOOKUP(B174&amp;"|"&amp;C174,'Fit Scoring'!$A$4:$K$203,11,FALSE),""))</x:f>
      </x:c>
      <x:c r="L174" s="26"/>
      <x:c r="M174" s="26"/>
      <x:c r="N174" s="25"/>
      <x:c r="O174" s="25" t="str">
        <x:f>IF(N174&lt;&gt;"",N174+7,"")</x:f>
      </x:c>
      <x:c r="P174" s="26"/>
      <x:c r="Q174" s="26"/>
    </x:row>
    <x:row r="175">
      <x:c r="A175" s="25"/>
      <x:c r="B175" s="26"/>
      <x:c r="C175" s="26"/>
      <x:c r="D175" s="26"/>
      <x:c r="E175" s="26"/>
      <x:c r="F175" s="26"/>
      <x:c r="G175" s="26"/>
      <x:c r="H175" s="25"/>
      <x:c r="I175" s="26"/>
      <x:c r="J175" s="26"/>
      <x:c r="K175" s="27" t="str">
        <x:f>IF(OR(B175="",C175=""),"",IFERROR(VLOOKUP(B175&amp;"|"&amp;C175,'Fit Scoring'!$A$4:$K$203,11,FALSE),""))</x:f>
      </x:c>
      <x:c r="L175" s="26"/>
      <x:c r="M175" s="26"/>
      <x:c r="N175" s="25"/>
      <x:c r="O175" s="25" t="str">
        <x:f>IF(N175&lt;&gt;"",N175+7,"")</x:f>
      </x:c>
      <x:c r="P175" s="26"/>
      <x:c r="Q175" s="26"/>
    </x:row>
    <x:row r="176">
      <x:c r="A176" s="25"/>
      <x:c r="B176" s="26"/>
      <x:c r="C176" s="26"/>
      <x:c r="D176" s="26"/>
      <x:c r="E176" s="26"/>
      <x:c r="F176" s="26"/>
      <x:c r="G176" s="26"/>
      <x:c r="H176" s="25"/>
      <x:c r="I176" s="26"/>
      <x:c r="J176" s="26"/>
      <x:c r="K176" s="27" t="str">
        <x:f>IF(OR(B176="",C176=""),"",IFERROR(VLOOKUP(B176&amp;"|"&amp;C176,'Fit Scoring'!$A$4:$K$203,11,FALSE),""))</x:f>
      </x:c>
      <x:c r="L176" s="26"/>
      <x:c r="M176" s="26"/>
      <x:c r="N176" s="25"/>
      <x:c r="O176" s="25" t="str">
        <x:f>IF(N176&lt;&gt;"",N176+7,"")</x:f>
      </x:c>
      <x:c r="P176" s="26"/>
      <x:c r="Q176" s="26"/>
    </x:row>
    <x:row r="177">
      <x:c r="A177" s="25"/>
      <x:c r="B177" s="26"/>
      <x:c r="C177" s="26"/>
      <x:c r="D177" s="26"/>
      <x:c r="E177" s="26"/>
      <x:c r="F177" s="26"/>
      <x:c r="G177" s="26"/>
      <x:c r="H177" s="25"/>
      <x:c r="I177" s="26"/>
      <x:c r="J177" s="26"/>
      <x:c r="K177" s="27" t="str">
        <x:f>IF(OR(B177="",C177=""),"",IFERROR(VLOOKUP(B177&amp;"|"&amp;C177,'Fit Scoring'!$A$4:$K$203,11,FALSE),""))</x:f>
      </x:c>
      <x:c r="L177" s="26"/>
      <x:c r="M177" s="26"/>
      <x:c r="N177" s="25"/>
      <x:c r="O177" s="25" t="str">
        <x:f>IF(N177&lt;&gt;"",N177+7,"")</x:f>
      </x:c>
      <x:c r="P177" s="26"/>
      <x:c r="Q177" s="26"/>
    </x:row>
    <x:row r="178">
      <x:c r="A178" s="25"/>
      <x:c r="B178" s="26"/>
      <x:c r="C178" s="26"/>
      <x:c r="D178" s="26"/>
      <x:c r="E178" s="26"/>
      <x:c r="F178" s="26"/>
      <x:c r="G178" s="26"/>
      <x:c r="H178" s="25"/>
      <x:c r="I178" s="26"/>
      <x:c r="J178" s="26"/>
      <x:c r="K178" s="27" t="str">
        <x:f>IF(OR(B178="",C178=""),"",IFERROR(VLOOKUP(B178&amp;"|"&amp;C178,'Fit Scoring'!$A$4:$K$203,11,FALSE),""))</x:f>
      </x:c>
      <x:c r="L178" s="26"/>
      <x:c r="M178" s="26"/>
      <x:c r="N178" s="25"/>
      <x:c r="O178" s="25" t="str">
        <x:f>IF(N178&lt;&gt;"",N178+7,"")</x:f>
      </x:c>
      <x:c r="P178" s="26"/>
      <x:c r="Q178" s="26"/>
    </x:row>
    <x:row r="179">
      <x:c r="A179" s="25"/>
      <x:c r="B179" s="26"/>
      <x:c r="C179" s="26"/>
      <x:c r="D179" s="26"/>
      <x:c r="E179" s="26"/>
      <x:c r="F179" s="26"/>
      <x:c r="G179" s="26"/>
      <x:c r="H179" s="25"/>
      <x:c r="I179" s="26"/>
      <x:c r="J179" s="26"/>
      <x:c r="K179" s="27" t="str">
        <x:f>IF(OR(B179="",C179=""),"",IFERROR(VLOOKUP(B179&amp;"|"&amp;C179,'Fit Scoring'!$A$4:$K$203,11,FALSE),""))</x:f>
      </x:c>
      <x:c r="L179" s="26"/>
      <x:c r="M179" s="26"/>
      <x:c r="N179" s="25"/>
      <x:c r="O179" s="25" t="str">
        <x:f>IF(N179&lt;&gt;"",N179+7,"")</x:f>
      </x:c>
      <x:c r="P179" s="26"/>
      <x:c r="Q179" s="26"/>
    </x:row>
    <x:row r="180">
      <x:c r="A180" s="25"/>
      <x:c r="B180" s="26"/>
      <x:c r="C180" s="26"/>
      <x:c r="D180" s="26"/>
      <x:c r="E180" s="26"/>
      <x:c r="F180" s="26"/>
      <x:c r="G180" s="26"/>
      <x:c r="H180" s="25"/>
      <x:c r="I180" s="26"/>
      <x:c r="J180" s="26"/>
      <x:c r="K180" s="27" t="str">
        <x:f>IF(OR(B180="",C180=""),"",IFERROR(VLOOKUP(B180&amp;"|"&amp;C180,'Fit Scoring'!$A$4:$K$203,11,FALSE),""))</x:f>
      </x:c>
      <x:c r="L180" s="26"/>
      <x:c r="M180" s="26"/>
      <x:c r="N180" s="25"/>
      <x:c r="O180" s="25" t="str">
        <x:f>IF(N180&lt;&gt;"",N180+7,"")</x:f>
      </x:c>
      <x:c r="P180" s="26"/>
      <x:c r="Q180" s="26"/>
    </x:row>
    <x:row r="181">
      <x:c r="A181" s="25"/>
      <x:c r="B181" s="26"/>
      <x:c r="C181" s="26"/>
      <x:c r="D181" s="26"/>
      <x:c r="E181" s="26"/>
      <x:c r="F181" s="26"/>
      <x:c r="G181" s="26"/>
      <x:c r="H181" s="25"/>
      <x:c r="I181" s="26"/>
      <x:c r="J181" s="26"/>
      <x:c r="K181" s="27" t="str">
        <x:f>IF(OR(B181="",C181=""),"",IFERROR(VLOOKUP(B181&amp;"|"&amp;C181,'Fit Scoring'!$A$4:$K$203,11,FALSE),""))</x:f>
      </x:c>
      <x:c r="L181" s="26"/>
      <x:c r="M181" s="26"/>
      <x:c r="N181" s="25"/>
      <x:c r="O181" s="25" t="str">
        <x:f>IF(N181&lt;&gt;"",N181+7,"")</x:f>
      </x:c>
      <x:c r="P181" s="26"/>
      <x:c r="Q181" s="26"/>
    </x:row>
    <x:row r="182">
      <x:c r="A182" s="25"/>
      <x:c r="B182" s="26"/>
      <x:c r="C182" s="26"/>
      <x:c r="D182" s="26"/>
      <x:c r="E182" s="26"/>
      <x:c r="F182" s="26"/>
      <x:c r="G182" s="26"/>
      <x:c r="H182" s="25"/>
      <x:c r="I182" s="26"/>
      <x:c r="J182" s="26"/>
      <x:c r="K182" s="27" t="str">
        <x:f>IF(OR(B182="",C182=""),"",IFERROR(VLOOKUP(B182&amp;"|"&amp;C182,'Fit Scoring'!$A$4:$K$203,11,FALSE),""))</x:f>
      </x:c>
      <x:c r="L182" s="26"/>
      <x:c r="M182" s="26"/>
      <x:c r="N182" s="25"/>
      <x:c r="O182" s="25" t="str">
        <x:f>IF(N182&lt;&gt;"",N182+7,"")</x:f>
      </x:c>
      <x:c r="P182" s="26"/>
      <x:c r="Q182" s="26"/>
    </x:row>
    <x:row r="183">
      <x:c r="A183" s="25"/>
      <x:c r="B183" s="26"/>
      <x:c r="C183" s="26"/>
      <x:c r="D183" s="26"/>
      <x:c r="E183" s="26"/>
      <x:c r="F183" s="26"/>
      <x:c r="G183" s="26"/>
      <x:c r="H183" s="25"/>
      <x:c r="I183" s="26"/>
      <x:c r="J183" s="26"/>
      <x:c r="K183" s="27" t="str">
        <x:f>IF(OR(B183="",C183=""),"",IFERROR(VLOOKUP(B183&amp;"|"&amp;C183,'Fit Scoring'!$A$4:$K$203,11,FALSE),""))</x:f>
      </x:c>
      <x:c r="L183" s="26"/>
      <x:c r="M183" s="26"/>
      <x:c r="N183" s="25"/>
      <x:c r="O183" s="25" t="str">
        <x:f>IF(N183&lt;&gt;"",N183+7,"")</x:f>
      </x:c>
      <x:c r="P183" s="26"/>
      <x:c r="Q183" s="26"/>
    </x:row>
    <x:row r="184">
      <x:c r="A184" s="25"/>
      <x:c r="B184" s="26"/>
      <x:c r="C184" s="26"/>
      <x:c r="D184" s="26"/>
      <x:c r="E184" s="26"/>
      <x:c r="F184" s="26"/>
      <x:c r="G184" s="26"/>
      <x:c r="H184" s="25"/>
      <x:c r="I184" s="26"/>
      <x:c r="J184" s="26"/>
      <x:c r="K184" s="27" t="str">
        <x:f>IF(OR(B184="",C184=""),"",IFERROR(VLOOKUP(B184&amp;"|"&amp;C184,'Fit Scoring'!$A$4:$K$203,11,FALSE),""))</x:f>
      </x:c>
      <x:c r="L184" s="26"/>
      <x:c r="M184" s="26"/>
      <x:c r="N184" s="25"/>
      <x:c r="O184" s="25" t="str">
        <x:f>IF(N184&lt;&gt;"",N184+7,"")</x:f>
      </x:c>
      <x:c r="P184" s="26"/>
      <x:c r="Q184" s="26"/>
    </x:row>
    <x:row r="185">
      <x:c r="A185" s="25"/>
      <x:c r="B185" s="26"/>
      <x:c r="C185" s="26"/>
      <x:c r="D185" s="26"/>
      <x:c r="E185" s="26"/>
      <x:c r="F185" s="26"/>
      <x:c r="G185" s="26"/>
      <x:c r="H185" s="25"/>
      <x:c r="I185" s="26"/>
      <x:c r="J185" s="26"/>
      <x:c r="K185" s="27" t="str">
        <x:f>IF(OR(B185="",C185=""),"",IFERROR(VLOOKUP(B185&amp;"|"&amp;C185,'Fit Scoring'!$A$4:$K$203,11,FALSE),""))</x:f>
      </x:c>
      <x:c r="L185" s="26"/>
      <x:c r="M185" s="26"/>
      <x:c r="N185" s="25"/>
      <x:c r="O185" s="25" t="str">
        <x:f>IF(N185&lt;&gt;"",N185+7,"")</x:f>
      </x:c>
      <x:c r="P185" s="26"/>
      <x:c r="Q185" s="26"/>
    </x:row>
    <x:row r="186">
      <x:c r="A186" s="25"/>
      <x:c r="B186" s="26"/>
      <x:c r="C186" s="26"/>
      <x:c r="D186" s="26"/>
      <x:c r="E186" s="26"/>
      <x:c r="F186" s="26"/>
      <x:c r="G186" s="26"/>
      <x:c r="H186" s="25"/>
      <x:c r="I186" s="26"/>
      <x:c r="J186" s="26"/>
      <x:c r="K186" s="27" t="str">
        <x:f>IF(OR(B186="",C186=""),"",IFERROR(VLOOKUP(B186&amp;"|"&amp;C186,'Fit Scoring'!$A$4:$K$203,11,FALSE),""))</x:f>
      </x:c>
      <x:c r="L186" s="26"/>
      <x:c r="M186" s="26"/>
      <x:c r="N186" s="25"/>
      <x:c r="O186" s="25" t="str">
        <x:f>IF(N186&lt;&gt;"",N186+7,"")</x:f>
      </x:c>
      <x:c r="P186" s="26"/>
      <x:c r="Q186" s="26"/>
    </x:row>
    <x:row r="187">
      <x:c r="A187" s="25"/>
      <x:c r="B187" s="26"/>
      <x:c r="C187" s="26"/>
      <x:c r="D187" s="26"/>
      <x:c r="E187" s="26"/>
      <x:c r="F187" s="26"/>
      <x:c r="G187" s="26"/>
      <x:c r="H187" s="25"/>
      <x:c r="I187" s="26"/>
      <x:c r="J187" s="26"/>
      <x:c r="K187" s="27" t="str">
        <x:f>IF(OR(B187="",C187=""),"",IFERROR(VLOOKUP(B187&amp;"|"&amp;C187,'Fit Scoring'!$A$4:$K$203,11,FALSE),""))</x:f>
      </x:c>
      <x:c r="L187" s="26"/>
      <x:c r="M187" s="26"/>
      <x:c r="N187" s="25"/>
      <x:c r="O187" s="25" t="str">
        <x:f>IF(N187&lt;&gt;"",N187+7,"")</x:f>
      </x:c>
      <x:c r="P187" s="26"/>
      <x:c r="Q187" s="26"/>
    </x:row>
    <x:row r="188">
      <x:c r="A188" s="25"/>
      <x:c r="B188" s="26"/>
      <x:c r="C188" s="26"/>
      <x:c r="D188" s="26"/>
      <x:c r="E188" s="26"/>
      <x:c r="F188" s="26"/>
      <x:c r="G188" s="26"/>
      <x:c r="H188" s="25"/>
      <x:c r="I188" s="26"/>
      <x:c r="J188" s="26"/>
      <x:c r="K188" s="27" t="str">
        <x:f>IF(OR(B188="",C188=""),"",IFERROR(VLOOKUP(B188&amp;"|"&amp;C188,'Fit Scoring'!$A$4:$K$203,11,FALSE),""))</x:f>
      </x:c>
      <x:c r="L188" s="26"/>
      <x:c r="M188" s="26"/>
      <x:c r="N188" s="25"/>
      <x:c r="O188" s="25" t="str">
        <x:f>IF(N188&lt;&gt;"",N188+7,"")</x:f>
      </x:c>
      <x:c r="P188" s="26"/>
      <x:c r="Q188" s="26"/>
    </x:row>
    <x:row r="189">
      <x:c r="A189" s="25"/>
      <x:c r="B189" s="26"/>
      <x:c r="C189" s="26"/>
      <x:c r="D189" s="26"/>
      <x:c r="E189" s="26"/>
      <x:c r="F189" s="26"/>
      <x:c r="G189" s="26"/>
      <x:c r="H189" s="25"/>
      <x:c r="I189" s="26"/>
      <x:c r="J189" s="26"/>
      <x:c r="K189" s="27" t="str">
        <x:f>IF(OR(B189="",C189=""),"",IFERROR(VLOOKUP(B189&amp;"|"&amp;C189,'Fit Scoring'!$A$4:$K$203,11,FALSE),""))</x:f>
      </x:c>
      <x:c r="L189" s="26"/>
      <x:c r="M189" s="26"/>
      <x:c r="N189" s="25"/>
      <x:c r="O189" s="25" t="str">
        <x:f>IF(N189&lt;&gt;"",N189+7,"")</x:f>
      </x:c>
      <x:c r="P189" s="26"/>
      <x:c r="Q189" s="26"/>
    </x:row>
    <x:row r="190">
      <x:c r="A190" s="25"/>
      <x:c r="B190" s="26"/>
      <x:c r="C190" s="26"/>
      <x:c r="D190" s="26"/>
      <x:c r="E190" s="26"/>
      <x:c r="F190" s="26"/>
      <x:c r="G190" s="26"/>
      <x:c r="H190" s="25"/>
      <x:c r="I190" s="26"/>
      <x:c r="J190" s="26"/>
      <x:c r="K190" s="27" t="str">
        <x:f>IF(OR(B190="",C190=""),"",IFERROR(VLOOKUP(B190&amp;"|"&amp;C190,'Fit Scoring'!$A$4:$K$203,11,FALSE),""))</x:f>
      </x:c>
      <x:c r="L190" s="26"/>
      <x:c r="M190" s="26"/>
      <x:c r="N190" s="25"/>
      <x:c r="O190" s="25" t="str">
        <x:f>IF(N190&lt;&gt;"",N190+7,"")</x:f>
      </x:c>
      <x:c r="P190" s="26"/>
      <x:c r="Q190" s="26"/>
    </x:row>
    <x:row r="191">
      <x:c r="A191" s="25"/>
      <x:c r="B191" s="26"/>
      <x:c r="C191" s="26"/>
      <x:c r="D191" s="26"/>
      <x:c r="E191" s="26"/>
      <x:c r="F191" s="26"/>
      <x:c r="G191" s="26"/>
      <x:c r="H191" s="25"/>
      <x:c r="I191" s="26"/>
      <x:c r="J191" s="26"/>
      <x:c r="K191" s="27" t="str">
        <x:f>IF(OR(B191="",C191=""),"",IFERROR(VLOOKUP(B191&amp;"|"&amp;C191,'Fit Scoring'!$A$4:$K$203,11,FALSE),""))</x:f>
      </x:c>
      <x:c r="L191" s="26"/>
      <x:c r="M191" s="26"/>
      <x:c r="N191" s="25"/>
      <x:c r="O191" s="25" t="str">
        <x:f>IF(N191&lt;&gt;"",N191+7,"")</x:f>
      </x:c>
      <x:c r="P191" s="26"/>
      <x:c r="Q191" s="26"/>
    </x:row>
    <x:row r="192">
      <x:c r="A192" s="25"/>
      <x:c r="B192" s="26"/>
      <x:c r="C192" s="26"/>
      <x:c r="D192" s="26"/>
      <x:c r="E192" s="26"/>
      <x:c r="F192" s="26"/>
      <x:c r="G192" s="26"/>
      <x:c r="H192" s="25"/>
      <x:c r="I192" s="26"/>
      <x:c r="J192" s="26"/>
      <x:c r="K192" s="27" t="str">
        <x:f>IF(OR(B192="",C192=""),"",IFERROR(VLOOKUP(B192&amp;"|"&amp;C192,'Fit Scoring'!$A$4:$K$203,11,FALSE),""))</x:f>
      </x:c>
      <x:c r="L192" s="26"/>
      <x:c r="M192" s="26"/>
      <x:c r="N192" s="25"/>
      <x:c r="O192" s="25" t="str">
        <x:f>IF(N192&lt;&gt;"",N192+7,"")</x:f>
      </x:c>
      <x:c r="P192" s="26"/>
      <x:c r="Q192" s="26"/>
    </x:row>
    <x:row r="193">
      <x:c r="A193" s="25"/>
      <x:c r="B193" s="26"/>
      <x:c r="C193" s="26"/>
      <x:c r="D193" s="26"/>
      <x:c r="E193" s="26"/>
      <x:c r="F193" s="26"/>
      <x:c r="G193" s="26"/>
      <x:c r="H193" s="25"/>
      <x:c r="I193" s="26"/>
      <x:c r="J193" s="26"/>
      <x:c r="K193" s="27" t="str">
        <x:f>IF(OR(B193="",C193=""),"",IFERROR(VLOOKUP(B193&amp;"|"&amp;C193,'Fit Scoring'!$A$4:$K$203,11,FALSE),""))</x:f>
      </x:c>
      <x:c r="L193" s="26"/>
      <x:c r="M193" s="26"/>
      <x:c r="N193" s="25"/>
      <x:c r="O193" s="25" t="str">
        <x:f>IF(N193&lt;&gt;"",N193+7,"")</x:f>
      </x:c>
      <x:c r="P193" s="26"/>
      <x:c r="Q193" s="26"/>
    </x:row>
    <x:row r="194">
      <x:c r="A194" s="25"/>
      <x:c r="B194" s="26"/>
      <x:c r="C194" s="26"/>
      <x:c r="D194" s="26"/>
      <x:c r="E194" s="26"/>
      <x:c r="F194" s="26"/>
      <x:c r="G194" s="26"/>
      <x:c r="H194" s="25"/>
      <x:c r="I194" s="26"/>
      <x:c r="J194" s="26"/>
      <x:c r="K194" s="27" t="str">
        <x:f>IF(OR(B194="",C194=""),"",IFERROR(VLOOKUP(B194&amp;"|"&amp;C194,'Fit Scoring'!$A$4:$K$203,11,FALSE),""))</x:f>
      </x:c>
      <x:c r="L194" s="26"/>
      <x:c r="M194" s="26"/>
      <x:c r="N194" s="25"/>
      <x:c r="O194" s="25" t="str">
        <x:f>IF(N194&lt;&gt;"",N194+7,"")</x:f>
      </x:c>
      <x:c r="P194" s="26"/>
      <x:c r="Q194" s="26"/>
    </x:row>
    <x:row r="195">
      <x:c r="A195" s="25"/>
      <x:c r="B195" s="26"/>
      <x:c r="C195" s="26"/>
      <x:c r="D195" s="26"/>
      <x:c r="E195" s="26"/>
      <x:c r="F195" s="26"/>
      <x:c r="G195" s="26"/>
      <x:c r="H195" s="25"/>
      <x:c r="I195" s="26"/>
      <x:c r="J195" s="26"/>
      <x:c r="K195" s="27" t="str">
        <x:f>IF(OR(B195="",C195=""),"",IFERROR(VLOOKUP(B195&amp;"|"&amp;C195,'Fit Scoring'!$A$4:$K$203,11,FALSE),""))</x:f>
      </x:c>
      <x:c r="L195" s="26"/>
      <x:c r="M195" s="26"/>
      <x:c r="N195" s="25"/>
      <x:c r="O195" s="25" t="str">
        <x:f>IF(N195&lt;&gt;"",N195+7,"")</x:f>
      </x:c>
      <x:c r="P195" s="26"/>
      <x:c r="Q195" s="26"/>
    </x:row>
    <x:row r="196">
      <x:c r="A196" s="25"/>
      <x:c r="B196" s="26"/>
      <x:c r="C196" s="26"/>
      <x:c r="D196" s="26"/>
      <x:c r="E196" s="26"/>
      <x:c r="F196" s="26"/>
      <x:c r="G196" s="26"/>
      <x:c r="H196" s="25"/>
      <x:c r="I196" s="26"/>
      <x:c r="J196" s="26"/>
      <x:c r="K196" s="27" t="str">
        <x:f>IF(OR(B196="",C196=""),"",IFERROR(VLOOKUP(B196&amp;"|"&amp;C196,'Fit Scoring'!$A$4:$K$203,11,FALSE),""))</x:f>
      </x:c>
      <x:c r="L196" s="26"/>
      <x:c r="M196" s="26"/>
      <x:c r="N196" s="25"/>
      <x:c r="O196" s="25" t="str">
        <x:f>IF(N196&lt;&gt;"",N196+7,"")</x:f>
      </x:c>
      <x:c r="P196" s="26"/>
      <x:c r="Q196" s="26"/>
    </x:row>
    <x:row r="197">
      <x:c r="A197" s="25"/>
      <x:c r="B197" s="26"/>
      <x:c r="C197" s="26"/>
      <x:c r="D197" s="26"/>
      <x:c r="E197" s="26"/>
      <x:c r="F197" s="26"/>
      <x:c r="G197" s="26"/>
      <x:c r="H197" s="25"/>
      <x:c r="I197" s="26"/>
      <x:c r="J197" s="26"/>
      <x:c r="K197" s="27" t="str">
        <x:f>IF(OR(B197="",C197=""),"",IFERROR(VLOOKUP(B197&amp;"|"&amp;C197,'Fit Scoring'!$A$4:$K$203,11,FALSE),""))</x:f>
      </x:c>
      <x:c r="L197" s="26"/>
      <x:c r="M197" s="26"/>
      <x:c r="N197" s="25"/>
      <x:c r="O197" s="25" t="str">
        <x:f>IF(N197&lt;&gt;"",N197+7,"")</x:f>
      </x:c>
      <x:c r="P197" s="26"/>
      <x:c r="Q197" s="26"/>
    </x:row>
    <x:row r="198">
      <x:c r="A198" s="25"/>
      <x:c r="B198" s="26"/>
      <x:c r="C198" s="26"/>
      <x:c r="D198" s="26"/>
      <x:c r="E198" s="26"/>
      <x:c r="F198" s="26"/>
      <x:c r="G198" s="26"/>
      <x:c r="H198" s="25"/>
      <x:c r="I198" s="26"/>
      <x:c r="J198" s="26"/>
      <x:c r="K198" s="27" t="str">
        <x:f>IF(OR(B198="",C198=""),"",IFERROR(VLOOKUP(B198&amp;"|"&amp;C198,'Fit Scoring'!$A$4:$K$203,11,FALSE),""))</x:f>
      </x:c>
      <x:c r="L198" s="26"/>
      <x:c r="M198" s="26"/>
      <x:c r="N198" s="25"/>
      <x:c r="O198" s="25" t="str">
        <x:f>IF(N198&lt;&gt;"",N198+7,"")</x:f>
      </x:c>
      <x:c r="P198" s="26"/>
      <x:c r="Q198" s="26"/>
    </x:row>
    <x:row r="199">
      <x:c r="A199" s="25"/>
      <x:c r="B199" s="26"/>
      <x:c r="C199" s="26"/>
      <x:c r="D199" s="26"/>
      <x:c r="E199" s="26"/>
      <x:c r="F199" s="26"/>
      <x:c r="G199" s="26"/>
      <x:c r="H199" s="25"/>
      <x:c r="I199" s="26"/>
      <x:c r="J199" s="26"/>
      <x:c r="K199" s="27" t="str">
        <x:f>IF(OR(B199="",C199=""),"",IFERROR(VLOOKUP(B199&amp;"|"&amp;C199,'Fit Scoring'!$A$4:$K$203,11,FALSE),""))</x:f>
      </x:c>
      <x:c r="L199" s="26"/>
      <x:c r="M199" s="26"/>
      <x:c r="N199" s="25"/>
      <x:c r="O199" s="25" t="str">
        <x:f>IF(N199&lt;&gt;"",N199+7,"")</x:f>
      </x:c>
      <x:c r="P199" s="26"/>
      <x:c r="Q199" s="26"/>
    </x:row>
    <x:row r="200">
      <x:c r="A200" s="25"/>
      <x:c r="B200" s="26"/>
      <x:c r="C200" s="26"/>
      <x:c r="D200" s="26"/>
      <x:c r="E200" s="26"/>
      <x:c r="F200" s="26"/>
      <x:c r="G200" s="26"/>
      <x:c r="H200" s="25"/>
      <x:c r="I200" s="26"/>
      <x:c r="J200" s="26"/>
      <x:c r="K200" s="27" t="str">
        <x:f>IF(OR(B200="",C200=""),"",IFERROR(VLOOKUP(B200&amp;"|"&amp;C200,'Fit Scoring'!$A$4:$K$203,11,FALSE),""))</x:f>
      </x:c>
      <x:c r="L200" s="26"/>
      <x:c r="M200" s="26"/>
      <x:c r="N200" s="25"/>
      <x:c r="O200" s="25" t="str">
        <x:f>IF(N200&lt;&gt;"",N200+7,"")</x:f>
      </x:c>
      <x:c r="P200" s="26"/>
      <x:c r="Q200" s="26"/>
    </x:row>
    <x:row r="201">
      <x:c r="A201" s="25"/>
      <x:c r="B201" s="26"/>
      <x:c r="C201" s="26"/>
      <x:c r="D201" s="26"/>
      <x:c r="E201" s="26"/>
      <x:c r="F201" s="26"/>
      <x:c r="G201" s="26"/>
      <x:c r="H201" s="25"/>
      <x:c r="I201" s="26"/>
      <x:c r="J201" s="26"/>
      <x:c r="K201" s="27" t="str">
        <x:f>IF(OR(B201="",C201=""),"",IFERROR(VLOOKUP(B201&amp;"|"&amp;C201,'Fit Scoring'!$A$4:$K$203,11,FALSE),""))</x:f>
      </x:c>
      <x:c r="L201" s="26"/>
      <x:c r="M201" s="26"/>
      <x:c r="N201" s="25"/>
      <x:c r="O201" s="25" t="str">
        <x:f>IF(N201&lt;&gt;"",N201+7,"")</x:f>
      </x:c>
      <x:c r="P201" s="26"/>
      <x:c r="Q201" s="26"/>
    </x:row>
    <x:row r="202">
      <x:c r="A202" s="25"/>
      <x:c r="B202" s="26"/>
      <x:c r="C202" s="26"/>
      <x:c r="D202" s="26"/>
      <x:c r="E202" s="26"/>
      <x:c r="F202" s="26"/>
      <x:c r="G202" s="26"/>
      <x:c r="H202" s="25"/>
      <x:c r="I202" s="26"/>
      <x:c r="J202" s="26"/>
      <x:c r="K202" s="27" t="str">
        <x:f>IF(OR(B202="",C202=""),"",IFERROR(VLOOKUP(B202&amp;"|"&amp;C202,'Fit Scoring'!$A$4:$K$203,11,FALSE),""))</x:f>
      </x:c>
      <x:c r="L202" s="26"/>
      <x:c r="M202" s="26"/>
      <x:c r="N202" s="25"/>
      <x:c r="O202" s="25" t="str">
        <x:f>IF(N202&lt;&gt;"",N202+7,"")</x:f>
      </x:c>
      <x:c r="P202" s="26"/>
      <x:c r="Q202" s="26"/>
    </x:row>
    <x:row r="203">
      <x:c r="A203" s="25"/>
      <x:c r="B203" s="26"/>
      <x:c r="C203" s="26"/>
      <x:c r="D203" s="26"/>
      <x:c r="E203" s="26"/>
      <x:c r="F203" s="26"/>
      <x:c r="G203" s="26"/>
      <x:c r="H203" s="25"/>
      <x:c r="I203" s="26"/>
      <x:c r="J203" s="26"/>
      <x:c r="K203" s="27" t="str">
        <x:f>IF(OR(B203="",C203=""),"",IFERROR(VLOOKUP(B203&amp;"|"&amp;C203,'Fit Scoring'!$A$4:$K$203,11,FALSE),""))</x:f>
      </x:c>
      <x:c r="L203" s="26"/>
      <x:c r="M203" s="26"/>
      <x:c r="N203" s="25"/>
      <x:c r="O203" s="25" t="str">
        <x:f>IF(N203&lt;&gt;"",N203+7,"")</x:f>
      </x:c>
      <x:c r="P203" s="26"/>
      <x:c r="Q203" s="26"/>
    </x:row>
  </x:sheetData>
  <x:mergeCells>
    <x:mergeCell ref="A1:Q1"/>
  </x:mergeCells>
  <x:conditionalFormatting sqref="K4:K203">
    <x:cfRule type="colorScale" priority="1">
      <x:colorScale>
        <x:cfvo type="num" val="0"/>
        <x:cfvo type="num" val="70"/>
        <x:cfvo type="num" val="100"/>
        <x:color rgb="FFE56B6F"/>
        <x:color rgb="FFF6C85F"/>
        <x:color rgb="FFD9F0EC"/>
      </x:colorScale>
    </x:cfRule>
  </x:conditionalFormatting>
  <x:dataValidations count="2">
    <x:dataValidation type="list" sqref="I4:I203">
      <x:formula1>Settings!$A$4:$A$12</x:formula1>
    </x:dataValidation>
    <x:dataValidation type="list" sqref="J4:J203">
      <x:formula1>Settings!$B$4:$B$6</x:formula1>
    </x:dataValidation>
  </x:dataValidations>
  <x:pageMargins left="0.7" right="0.7" top="0.75" bottom="0.75" header="0.3" footer="0.3"/>
  <x:tableParts count="1">
    <x:tablePart xmlns:r="http://schemas.openxmlformats.org/officeDocument/2006/relationships" r:id="Rfc052d407f6043c7"/>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7.5" hidden="0" customWidth="1"/>
    <x:col min="2" max="2" width="17.5" hidden="0" customWidth="1"/>
    <x:col min="3" max="3" width="17.5" hidden="0" customWidth="1"/>
    <x:col min="4" max="4" width="17.5" hidden="0" customWidth="1"/>
    <x:col min="5" max="5" width="17.5" hidden="0" customWidth="1"/>
    <x:col min="6" max="6" width="17.5" hidden="0" customWidth="1"/>
    <x:col min="7" max="7" width="17.5" hidden="0" customWidth="1"/>
    <x:col min="8" max="8" width="17.5" hidden="0" customWidth="1"/>
    <x:col min="9" max="9" width="17.5" hidden="0" customWidth="1"/>
    <x:col min="10" max="10" width="35" hidden="0" customWidth="1"/>
    <x:col min="11" max="11" width="17.5" hidden="0" customWidth="1"/>
  </x:cols>
  <x:sheetData>
    <x:row r="1" ht="25.5" customHeight="1">
      <x:c r="A1" s="11" t="str">
        <x:v>Fit Scoring</x:v>
      </x:c>
      <x:c r="B1" s="11"/>
      <x:c r="C1" s="11"/>
      <x:c r="D1" s="11"/>
      <x:c r="E1" s="11"/>
      <x:c r="F1" s="11"/>
      <x:c r="G1" s="11"/>
      <x:c r="H1" s="11"/>
      <x:c r="I1" s="11"/>
      <x:c r="J1" s="11"/>
      <x:c r="K1" s="11"/>
    </x:row>
    <x:row r="2">
      <x:c r="A2" s="12"/>
      <x:c r="B2" s="12"/>
      <x:c r="C2" s="12"/>
      <x:c r="D2" s="12"/>
      <x:c r="E2" s="12"/>
      <x:c r="F2" s="12"/>
      <x:c r="G2" s="12"/>
      <x:c r="H2" s="12"/>
      <x:c r="I2" s="12"/>
      <x:c r="J2" s="12"/>
      <x:c r="K2" s="12"/>
    </x:row>
    <x:row r="3">
      <x:c r="A3" s="13" t="str">
        <x:v>Lookup Key</x:v>
      </x:c>
      <x:c r="B3" s="13" t="str">
        <x:v>Company</x:v>
      </x:c>
      <x:c r="C3" s="13" t="str">
        <x:v>Role</x:v>
      </x:c>
      <x:c r="D3" s="13" t="str">
        <x:v>Skills Match</x:v>
      </x:c>
      <x:c r="E3" s="13" t="str">
        <x:v>Experience Match</x:v>
      </x:c>
      <x:c r="F3" s="13" t="str">
        <x:v>Location / Work Model</x:v>
      </x:c>
      <x:c r="G3" s="13" t="str">
        <x:v>Salary Alignment</x:v>
      </x:c>
      <x:c r="H3" s="13" t="str">
        <x:v>Company Interest</x:v>
      </x:c>
      <x:c r="I3" s="13" t="str">
        <x:v>Application Effort</x:v>
      </x:c>
      <x:c r="J3" s="13" t="str">
        <x:v>Notes</x:v>
      </x:c>
      <x:c r="K3" s="13" t="str">
        <x:v>Total Fit Score</x:v>
      </x:c>
    </x:row>
    <x:row r="4">
      <x:c r="A4" s="26" t="str">
        <x:f>B4&amp;"|"&amp;C4</x:f>
        <x:v>Example Co|Customer Support Specialist</x:v>
      </x:c>
      <x:c r="B4" s="26" t="str">
        <x:v>Example Co</x:v>
      </x:c>
      <x:c r="C4" s="26" t="str">
        <x:v>Customer Support Specialist</x:v>
      </x:c>
      <x:c r="D4" s="26" t="n">
        <x:v>26</x:v>
      </x:c>
      <x:c r="E4" s="26" t="n">
        <x:v>17</x:v>
      </x:c>
      <x:c r="F4" s="26" t="n">
        <x:v>14</x:v>
      </x:c>
      <x:c r="G4" s="26" t="n">
        <x:v>12</x:v>
      </x:c>
      <x:c r="H4" s="26" t="n">
        <x:v>9</x:v>
      </x:c>
      <x:c r="I4" s="26" t="n">
        <x:v>7</x:v>
      </x:c>
      <x:c r="J4" s="26" t="str">
        <x:v>Strong match; tailor resume to customer support tools.</x:v>
      </x:c>
      <x:c r="K4" s="27" t="n">
        <x:f>SUM(D4:I4)</x:f>
        <x:v>85</x:v>
      </x:c>
    </x:row>
    <x:row r="5">
      <x:c r="A5" s="26" t="str">
        <x:f>B5&amp;"|"&amp;C5</x:f>
        <x:v>Sample Labs|Operations Coordinator</x:v>
      </x:c>
      <x:c r="B5" s="26" t="str">
        <x:v>Sample Labs</x:v>
      </x:c>
      <x:c r="C5" s="26" t="str">
        <x:v>Operations Coordinator</x:v>
      </x:c>
      <x:c r="D5" s="26" t="n">
        <x:v>20</x:v>
      </x:c>
      <x:c r="E5" s="26" t="n">
        <x:v>16</x:v>
      </x:c>
      <x:c r="F5" s="26" t="n">
        <x:v>15</x:v>
      </x:c>
      <x:c r="G5" s="26" t="n">
        <x:v>10</x:v>
      </x:c>
      <x:c r="H5" s="26" t="n">
        <x:v>8</x:v>
      </x:c>
      <x:c r="I5" s="26" t="n">
        <x:v>8</x:v>
      </x:c>
      <x:c r="J5" s="26" t="str">
        <x:v>Good general fit; verify salary and responsibilities.</x:v>
      </x:c>
      <x:c r="K5" s="27" t="n">
        <x:f>SUM(D5:I5)</x:f>
        <x:v>77</x:v>
      </x:c>
    </x:row>
    <x:row r="6">
      <x:c r="A6" s="26" t="str">
        <x:f>IF(OR(B6="",C6=""),"",B6&amp;"|"&amp;C6)</x:f>
      </x:c>
      <x:c r="B6" s="26"/>
      <x:c r="C6" s="26"/>
      <x:c r="D6" s="26"/>
      <x:c r="E6" s="26"/>
      <x:c r="F6" s="26"/>
      <x:c r="G6" s="26"/>
      <x:c r="H6" s="26"/>
      <x:c r="I6" s="26"/>
      <x:c r="J6" s="26"/>
      <x:c r="K6" s="27" t="str">
        <x:f>IF(COUNTA(D6:I6)=0,"",SUM(D6:I6))</x:f>
      </x:c>
    </x:row>
    <x:row r="7">
      <x:c r="A7" s="26" t="str">
        <x:f>IF(OR(B7="",C7=""),"",B7&amp;"|"&amp;C7)</x:f>
      </x:c>
      <x:c r="B7" s="26"/>
      <x:c r="C7" s="26"/>
      <x:c r="D7" s="26"/>
      <x:c r="E7" s="26"/>
      <x:c r="F7" s="26"/>
      <x:c r="G7" s="26"/>
      <x:c r="H7" s="26"/>
      <x:c r="I7" s="26"/>
      <x:c r="J7" s="26"/>
      <x:c r="K7" s="27" t="str">
        <x:f>IF(COUNTA(D7:I7)=0,"",SUM(D7:I7))</x:f>
      </x:c>
    </x:row>
    <x:row r="8">
      <x:c r="A8" s="26" t="str">
        <x:f>IF(OR(B8="",C8=""),"",B8&amp;"|"&amp;C8)</x:f>
      </x:c>
      <x:c r="B8" s="26"/>
      <x:c r="C8" s="26"/>
      <x:c r="D8" s="26"/>
      <x:c r="E8" s="26"/>
      <x:c r="F8" s="26"/>
      <x:c r="G8" s="26"/>
      <x:c r="H8" s="26"/>
      <x:c r="I8" s="26"/>
      <x:c r="J8" s="26"/>
      <x:c r="K8" s="27" t="str">
        <x:f>IF(COUNTA(D8:I8)=0,"",SUM(D8:I8))</x:f>
      </x:c>
    </x:row>
    <x:row r="9">
      <x:c r="A9" s="26" t="str">
        <x:f>IF(OR(B9="",C9=""),"",B9&amp;"|"&amp;C9)</x:f>
      </x:c>
      <x:c r="B9" s="26"/>
      <x:c r="C9" s="26"/>
      <x:c r="D9" s="26"/>
      <x:c r="E9" s="26"/>
      <x:c r="F9" s="26"/>
      <x:c r="G9" s="26"/>
      <x:c r="H9" s="26"/>
      <x:c r="I9" s="26"/>
      <x:c r="J9" s="26"/>
      <x:c r="K9" s="27" t="str">
        <x:f>IF(COUNTA(D9:I9)=0,"",SUM(D9:I9))</x:f>
      </x:c>
    </x:row>
    <x:row r="10">
      <x:c r="A10" s="26" t="str">
        <x:f>IF(OR(B10="",C10=""),"",B10&amp;"|"&amp;C10)</x:f>
      </x:c>
      <x:c r="B10" s="26"/>
      <x:c r="C10" s="26"/>
      <x:c r="D10" s="26"/>
      <x:c r="E10" s="26"/>
      <x:c r="F10" s="26"/>
      <x:c r="G10" s="26"/>
      <x:c r="H10" s="26"/>
      <x:c r="I10" s="26"/>
      <x:c r="J10" s="26"/>
      <x:c r="K10" s="27" t="str">
        <x:f>IF(COUNTA(D10:I10)=0,"",SUM(D10:I10))</x:f>
      </x:c>
    </x:row>
    <x:row r="11">
      <x:c r="A11" s="26" t="str">
        <x:f>IF(OR(B11="",C11=""),"",B11&amp;"|"&amp;C11)</x:f>
      </x:c>
      <x:c r="B11" s="26"/>
      <x:c r="C11" s="26"/>
      <x:c r="D11" s="26"/>
      <x:c r="E11" s="26"/>
      <x:c r="F11" s="26"/>
      <x:c r="G11" s="26"/>
      <x:c r="H11" s="26"/>
      <x:c r="I11" s="26"/>
      <x:c r="J11" s="26"/>
      <x:c r="K11" s="27" t="str">
        <x:f>IF(COUNTA(D11:I11)=0,"",SUM(D11:I11))</x:f>
      </x:c>
    </x:row>
    <x:row r="12">
      <x:c r="A12" s="26" t="str">
        <x:f>IF(OR(B12="",C12=""),"",B12&amp;"|"&amp;C12)</x:f>
      </x:c>
      <x:c r="B12" s="26"/>
      <x:c r="C12" s="26"/>
      <x:c r="D12" s="26"/>
      <x:c r="E12" s="26"/>
      <x:c r="F12" s="26"/>
      <x:c r="G12" s="26"/>
      <x:c r="H12" s="26"/>
      <x:c r="I12" s="26"/>
      <x:c r="J12" s="26"/>
      <x:c r="K12" s="27" t="str">
        <x:f>IF(COUNTA(D12:I12)=0,"",SUM(D12:I12))</x:f>
      </x:c>
    </x:row>
    <x:row r="13">
      <x:c r="A13" s="26" t="str">
        <x:f>IF(OR(B13="",C13=""),"",B13&amp;"|"&amp;C13)</x:f>
      </x:c>
      <x:c r="B13" s="26"/>
      <x:c r="C13" s="26"/>
      <x:c r="D13" s="26"/>
      <x:c r="E13" s="26"/>
      <x:c r="F13" s="26"/>
      <x:c r="G13" s="26"/>
      <x:c r="H13" s="26"/>
      <x:c r="I13" s="26"/>
      <x:c r="J13" s="26"/>
      <x:c r="K13" s="27" t="str">
        <x:f>IF(COUNTA(D13:I13)=0,"",SUM(D13:I13))</x:f>
      </x:c>
    </x:row>
    <x:row r="14">
      <x:c r="A14" s="26" t="str">
        <x:f>IF(OR(B14="",C14=""),"",B14&amp;"|"&amp;C14)</x:f>
      </x:c>
      <x:c r="B14" s="26"/>
      <x:c r="C14" s="26"/>
      <x:c r="D14" s="26"/>
      <x:c r="E14" s="26"/>
      <x:c r="F14" s="26"/>
      <x:c r="G14" s="26"/>
      <x:c r="H14" s="26"/>
      <x:c r="I14" s="26"/>
      <x:c r="J14" s="26"/>
      <x:c r="K14" s="27" t="str">
        <x:f>IF(COUNTA(D14:I14)=0,"",SUM(D14:I14))</x:f>
      </x:c>
    </x:row>
    <x:row r="15">
      <x:c r="A15" s="26" t="str">
        <x:f>IF(OR(B15="",C15=""),"",B15&amp;"|"&amp;C15)</x:f>
      </x:c>
      <x:c r="B15" s="26"/>
      <x:c r="C15" s="26"/>
      <x:c r="D15" s="26"/>
      <x:c r="E15" s="26"/>
      <x:c r="F15" s="26"/>
      <x:c r="G15" s="26"/>
      <x:c r="H15" s="26"/>
      <x:c r="I15" s="26"/>
      <x:c r="J15" s="26"/>
      <x:c r="K15" s="27" t="str">
        <x:f>IF(COUNTA(D15:I15)=0,"",SUM(D15:I15))</x:f>
      </x:c>
    </x:row>
    <x:row r="16">
      <x:c r="A16" s="26" t="str">
        <x:f>IF(OR(B16="",C16=""),"",B16&amp;"|"&amp;C16)</x:f>
      </x:c>
      <x:c r="B16" s="26"/>
      <x:c r="C16" s="26"/>
      <x:c r="D16" s="26"/>
      <x:c r="E16" s="26"/>
      <x:c r="F16" s="26"/>
      <x:c r="G16" s="26"/>
      <x:c r="H16" s="26"/>
      <x:c r="I16" s="26"/>
      <x:c r="J16" s="26"/>
      <x:c r="K16" s="27" t="str">
        <x:f>IF(COUNTA(D16:I16)=0,"",SUM(D16:I16))</x:f>
      </x:c>
    </x:row>
    <x:row r="17">
      <x:c r="A17" s="26" t="str">
        <x:f>IF(OR(B17="",C17=""),"",B17&amp;"|"&amp;C17)</x:f>
      </x:c>
      <x:c r="B17" s="26"/>
      <x:c r="C17" s="26"/>
      <x:c r="D17" s="26"/>
      <x:c r="E17" s="26"/>
      <x:c r="F17" s="26"/>
      <x:c r="G17" s="26"/>
      <x:c r="H17" s="26"/>
      <x:c r="I17" s="26"/>
      <x:c r="J17" s="26"/>
      <x:c r="K17" s="27" t="str">
        <x:f>IF(COUNTA(D17:I17)=0,"",SUM(D17:I17))</x:f>
      </x:c>
    </x:row>
    <x:row r="18">
      <x:c r="A18" s="26" t="str">
        <x:f>IF(OR(B18="",C18=""),"",B18&amp;"|"&amp;C18)</x:f>
      </x:c>
      <x:c r="B18" s="26"/>
      <x:c r="C18" s="26"/>
      <x:c r="D18" s="26"/>
      <x:c r="E18" s="26"/>
      <x:c r="F18" s="26"/>
      <x:c r="G18" s="26"/>
      <x:c r="H18" s="26"/>
      <x:c r="I18" s="26"/>
      <x:c r="J18" s="26"/>
      <x:c r="K18" s="27" t="str">
        <x:f>IF(COUNTA(D18:I18)=0,"",SUM(D18:I18))</x:f>
      </x:c>
    </x:row>
    <x:row r="19">
      <x:c r="A19" s="26" t="str">
        <x:f>IF(OR(B19="",C19=""),"",B19&amp;"|"&amp;C19)</x:f>
      </x:c>
      <x:c r="B19" s="26"/>
      <x:c r="C19" s="26"/>
      <x:c r="D19" s="26"/>
      <x:c r="E19" s="26"/>
      <x:c r="F19" s="26"/>
      <x:c r="G19" s="26"/>
      <x:c r="H19" s="26"/>
      <x:c r="I19" s="26"/>
      <x:c r="J19" s="26"/>
      <x:c r="K19" s="27" t="str">
        <x:f>IF(COUNTA(D19:I19)=0,"",SUM(D19:I19))</x:f>
      </x:c>
    </x:row>
    <x:row r="20">
      <x:c r="A20" s="26" t="str">
        <x:f>IF(OR(B20="",C20=""),"",B20&amp;"|"&amp;C20)</x:f>
      </x:c>
      <x:c r="B20" s="26"/>
      <x:c r="C20" s="26"/>
      <x:c r="D20" s="26"/>
      <x:c r="E20" s="26"/>
      <x:c r="F20" s="26"/>
      <x:c r="G20" s="26"/>
      <x:c r="H20" s="26"/>
      <x:c r="I20" s="26"/>
      <x:c r="J20" s="26"/>
      <x:c r="K20" s="27" t="str">
        <x:f>IF(COUNTA(D20:I20)=0,"",SUM(D20:I20))</x:f>
      </x:c>
    </x:row>
    <x:row r="21">
      <x:c r="A21" s="26" t="str">
        <x:f>IF(OR(B21="",C21=""),"",B21&amp;"|"&amp;C21)</x:f>
      </x:c>
      <x:c r="B21" s="26"/>
      <x:c r="C21" s="26"/>
      <x:c r="D21" s="26"/>
      <x:c r="E21" s="26"/>
      <x:c r="F21" s="26"/>
      <x:c r="G21" s="26"/>
      <x:c r="H21" s="26"/>
      <x:c r="I21" s="26"/>
      <x:c r="J21" s="26"/>
      <x:c r="K21" s="27" t="str">
        <x:f>IF(COUNTA(D21:I21)=0,"",SUM(D21:I21))</x:f>
      </x:c>
    </x:row>
    <x:row r="22">
      <x:c r="A22" s="26" t="str">
        <x:f>IF(OR(B22="",C22=""),"",B22&amp;"|"&amp;C22)</x:f>
      </x:c>
      <x:c r="B22" s="26"/>
      <x:c r="C22" s="26"/>
      <x:c r="D22" s="26"/>
      <x:c r="E22" s="26"/>
      <x:c r="F22" s="26"/>
      <x:c r="G22" s="26"/>
      <x:c r="H22" s="26"/>
      <x:c r="I22" s="26"/>
      <x:c r="J22" s="26"/>
      <x:c r="K22" s="27" t="str">
        <x:f>IF(COUNTA(D22:I22)=0,"",SUM(D22:I22))</x:f>
      </x:c>
    </x:row>
    <x:row r="23">
      <x:c r="A23" s="26" t="str">
        <x:f>IF(OR(B23="",C23=""),"",B23&amp;"|"&amp;C23)</x:f>
      </x:c>
      <x:c r="B23" s="26"/>
      <x:c r="C23" s="26"/>
      <x:c r="D23" s="26"/>
      <x:c r="E23" s="26"/>
      <x:c r="F23" s="26"/>
      <x:c r="G23" s="26"/>
      <x:c r="H23" s="26"/>
      <x:c r="I23" s="26"/>
      <x:c r="J23" s="26"/>
      <x:c r="K23" s="27" t="str">
        <x:f>IF(COUNTA(D23:I23)=0,"",SUM(D23:I23))</x:f>
      </x:c>
    </x:row>
    <x:row r="24">
      <x:c r="A24" s="26" t="str">
        <x:f>IF(OR(B24="",C24=""),"",B24&amp;"|"&amp;C24)</x:f>
      </x:c>
      <x:c r="B24" s="26"/>
      <x:c r="C24" s="26"/>
      <x:c r="D24" s="26"/>
      <x:c r="E24" s="26"/>
      <x:c r="F24" s="26"/>
      <x:c r="G24" s="26"/>
      <x:c r="H24" s="26"/>
      <x:c r="I24" s="26"/>
      <x:c r="J24" s="26"/>
      <x:c r="K24" s="27" t="str">
        <x:f>IF(COUNTA(D24:I24)=0,"",SUM(D24:I24))</x:f>
      </x:c>
    </x:row>
    <x:row r="25">
      <x:c r="A25" s="26" t="str">
        <x:f>IF(OR(B25="",C25=""),"",B25&amp;"|"&amp;C25)</x:f>
      </x:c>
      <x:c r="B25" s="26"/>
      <x:c r="C25" s="26"/>
      <x:c r="D25" s="26"/>
      <x:c r="E25" s="26"/>
      <x:c r="F25" s="26"/>
      <x:c r="G25" s="26"/>
      <x:c r="H25" s="26"/>
      <x:c r="I25" s="26"/>
      <x:c r="J25" s="26"/>
      <x:c r="K25" s="27" t="str">
        <x:f>IF(COUNTA(D25:I25)=0,"",SUM(D25:I25))</x:f>
      </x:c>
    </x:row>
    <x:row r="26">
      <x:c r="A26" s="26" t="str">
        <x:f>IF(OR(B26="",C26=""),"",B26&amp;"|"&amp;C26)</x:f>
      </x:c>
      <x:c r="B26" s="26"/>
      <x:c r="C26" s="26"/>
      <x:c r="D26" s="26"/>
      <x:c r="E26" s="26"/>
      <x:c r="F26" s="26"/>
      <x:c r="G26" s="26"/>
      <x:c r="H26" s="26"/>
      <x:c r="I26" s="26"/>
      <x:c r="J26" s="26"/>
      <x:c r="K26" s="27" t="str">
        <x:f>IF(COUNTA(D26:I26)=0,"",SUM(D26:I26))</x:f>
      </x:c>
    </x:row>
    <x:row r="27">
      <x:c r="A27" s="26" t="str">
        <x:f>IF(OR(B27="",C27=""),"",B27&amp;"|"&amp;C27)</x:f>
      </x:c>
      <x:c r="B27" s="26"/>
      <x:c r="C27" s="26"/>
      <x:c r="D27" s="26"/>
      <x:c r="E27" s="26"/>
      <x:c r="F27" s="26"/>
      <x:c r="G27" s="26"/>
      <x:c r="H27" s="26"/>
      <x:c r="I27" s="26"/>
      <x:c r="J27" s="26"/>
      <x:c r="K27" s="27" t="str">
        <x:f>IF(COUNTA(D27:I27)=0,"",SUM(D27:I27))</x:f>
      </x:c>
    </x:row>
    <x:row r="28">
      <x:c r="A28" s="26" t="str">
        <x:f>IF(OR(B28="",C28=""),"",B28&amp;"|"&amp;C28)</x:f>
      </x:c>
      <x:c r="B28" s="26"/>
      <x:c r="C28" s="26"/>
      <x:c r="D28" s="26"/>
      <x:c r="E28" s="26"/>
      <x:c r="F28" s="26"/>
      <x:c r="G28" s="26"/>
      <x:c r="H28" s="26"/>
      <x:c r="I28" s="26"/>
      <x:c r="J28" s="26"/>
      <x:c r="K28" s="27" t="str">
        <x:f>IF(COUNTA(D28:I28)=0,"",SUM(D28:I28))</x:f>
      </x:c>
    </x:row>
    <x:row r="29">
      <x:c r="A29" s="26" t="str">
        <x:f>IF(OR(B29="",C29=""),"",B29&amp;"|"&amp;C29)</x:f>
      </x:c>
      <x:c r="B29" s="26"/>
      <x:c r="C29" s="26"/>
      <x:c r="D29" s="26"/>
      <x:c r="E29" s="26"/>
      <x:c r="F29" s="26"/>
      <x:c r="G29" s="26"/>
      <x:c r="H29" s="26"/>
      <x:c r="I29" s="26"/>
      <x:c r="J29" s="26"/>
      <x:c r="K29" s="27" t="str">
        <x:f>IF(COUNTA(D29:I29)=0,"",SUM(D29:I29))</x:f>
      </x:c>
    </x:row>
    <x:row r="30">
      <x:c r="A30" s="26" t="str">
        <x:f>IF(OR(B30="",C30=""),"",B30&amp;"|"&amp;C30)</x:f>
      </x:c>
      <x:c r="B30" s="26"/>
      <x:c r="C30" s="26"/>
      <x:c r="D30" s="26"/>
      <x:c r="E30" s="26"/>
      <x:c r="F30" s="26"/>
      <x:c r="G30" s="26"/>
      <x:c r="H30" s="26"/>
      <x:c r="I30" s="26"/>
      <x:c r="J30" s="26"/>
      <x:c r="K30" s="27" t="str">
        <x:f>IF(COUNTA(D30:I30)=0,"",SUM(D30:I30))</x:f>
      </x:c>
    </x:row>
    <x:row r="31">
      <x:c r="A31" s="26" t="str">
        <x:f>IF(OR(B31="",C31=""),"",B31&amp;"|"&amp;C31)</x:f>
      </x:c>
      <x:c r="B31" s="26"/>
      <x:c r="C31" s="26"/>
      <x:c r="D31" s="26"/>
      <x:c r="E31" s="26"/>
      <x:c r="F31" s="26"/>
      <x:c r="G31" s="26"/>
      <x:c r="H31" s="26"/>
      <x:c r="I31" s="26"/>
      <x:c r="J31" s="26"/>
      <x:c r="K31" s="27" t="str">
        <x:f>IF(COUNTA(D31:I31)=0,"",SUM(D31:I31))</x:f>
      </x:c>
    </x:row>
    <x:row r="32">
      <x:c r="A32" s="26" t="str">
        <x:f>IF(OR(B32="",C32=""),"",B32&amp;"|"&amp;C32)</x:f>
      </x:c>
      <x:c r="B32" s="26"/>
      <x:c r="C32" s="26"/>
      <x:c r="D32" s="26"/>
      <x:c r="E32" s="26"/>
      <x:c r="F32" s="26"/>
      <x:c r="G32" s="26"/>
      <x:c r="H32" s="26"/>
      <x:c r="I32" s="26"/>
      <x:c r="J32" s="26"/>
      <x:c r="K32" s="27" t="str">
        <x:f>IF(COUNTA(D32:I32)=0,"",SUM(D32:I32))</x:f>
      </x:c>
    </x:row>
    <x:row r="33">
      <x:c r="A33" s="26" t="str">
        <x:f>IF(OR(B33="",C33=""),"",B33&amp;"|"&amp;C33)</x:f>
      </x:c>
      <x:c r="B33" s="26"/>
      <x:c r="C33" s="26"/>
      <x:c r="D33" s="26"/>
      <x:c r="E33" s="26"/>
      <x:c r="F33" s="26"/>
      <x:c r="G33" s="26"/>
      <x:c r="H33" s="26"/>
      <x:c r="I33" s="26"/>
      <x:c r="J33" s="26"/>
      <x:c r="K33" s="27" t="str">
        <x:f>IF(COUNTA(D33:I33)=0,"",SUM(D33:I33))</x:f>
      </x:c>
    </x:row>
    <x:row r="34">
      <x:c r="A34" s="26" t="str">
        <x:f>IF(OR(B34="",C34=""),"",B34&amp;"|"&amp;C34)</x:f>
      </x:c>
      <x:c r="B34" s="26"/>
      <x:c r="C34" s="26"/>
      <x:c r="D34" s="26"/>
      <x:c r="E34" s="26"/>
      <x:c r="F34" s="26"/>
      <x:c r="G34" s="26"/>
      <x:c r="H34" s="26"/>
      <x:c r="I34" s="26"/>
      <x:c r="J34" s="26"/>
      <x:c r="K34" s="27" t="str">
        <x:f>IF(COUNTA(D34:I34)=0,"",SUM(D34:I34))</x:f>
      </x:c>
    </x:row>
    <x:row r="35">
      <x:c r="A35" s="26" t="str">
        <x:f>IF(OR(B35="",C35=""),"",B35&amp;"|"&amp;C35)</x:f>
      </x:c>
      <x:c r="B35" s="26"/>
      <x:c r="C35" s="26"/>
      <x:c r="D35" s="26"/>
      <x:c r="E35" s="26"/>
      <x:c r="F35" s="26"/>
      <x:c r="G35" s="26"/>
      <x:c r="H35" s="26"/>
      <x:c r="I35" s="26"/>
      <x:c r="J35" s="26"/>
      <x:c r="K35" s="27" t="str">
        <x:f>IF(COUNTA(D35:I35)=0,"",SUM(D35:I35))</x:f>
      </x:c>
    </x:row>
    <x:row r="36">
      <x:c r="A36" s="26" t="str">
        <x:f>IF(OR(B36="",C36=""),"",B36&amp;"|"&amp;C36)</x:f>
      </x:c>
      <x:c r="B36" s="26"/>
      <x:c r="C36" s="26"/>
      <x:c r="D36" s="26"/>
      <x:c r="E36" s="26"/>
      <x:c r="F36" s="26"/>
      <x:c r="G36" s="26"/>
      <x:c r="H36" s="26"/>
      <x:c r="I36" s="26"/>
      <x:c r="J36" s="26"/>
      <x:c r="K36" s="27" t="str">
        <x:f>IF(COUNTA(D36:I36)=0,"",SUM(D36:I36))</x:f>
      </x:c>
    </x:row>
    <x:row r="37">
      <x:c r="A37" s="26" t="str">
        <x:f>IF(OR(B37="",C37=""),"",B37&amp;"|"&amp;C37)</x:f>
      </x:c>
      <x:c r="B37" s="26"/>
      <x:c r="C37" s="26"/>
      <x:c r="D37" s="26"/>
      <x:c r="E37" s="26"/>
      <x:c r="F37" s="26"/>
      <x:c r="G37" s="26"/>
      <x:c r="H37" s="26"/>
      <x:c r="I37" s="26"/>
      <x:c r="J37" s="26"/>
      <x:c r="K37" s="27" t="str">
        <x:f>IF(COUNTA(D37:I37)=0,"",SUM(D37:I37))</x:f>
      </x:c>
    </x:row>
    <x:row r="38">
      <x:c r="A38" s="26" t="str">
        <x:f>IF(OR(B38="",C38=""),"",B38&amp;"|"&amp;C38)</x:f>
      </x:c>
      <x:c r="B38" s="26"/>
      <x:c r="C38" s="26"/>
      <x:c r="D38" s="26"/>
      <x:c r="E38" s="26"/>
      <x:c r="F38" s="26"/>
      <x:c r="G38" s="26"/>
      <x:c r="H38" s="26"/>
      <x:c r="I38" s="26"/>
      <x:c r="J38" s="26"/>
      <x:c r="K38" s="27" t="str">
        <x:f>IF(COUNTA(D38:I38)=0,"",SUM(D38:I38))</x:f>
      </x:c>
    </x:row>
    <x:row r="39">
      <x:c r="A39" s="26" t="str">
        <x:f>IF(OR(B39="",C39=""),"",B39&amp;"|"&amp;C39)</x:f>
      </x:c>
      <x:c r="B39" s="26"/>
      <x:c r="C39" s="26"/>
      <x:c r="D39" s="26"/>
      <x:c r="E39" s="26"/>
      <x:c r="F39" s="26"/>
      <x:c r="G39" s="26"/>
      <x:c r="H39" s="26"/>
      <x:c r="I39" s="26"/>
      <x:c r="J39" s="26"/>
      <x:c r="K39" s="27" t="str">
        <x:f>IF(COUNTA(D39:I39)=0,"",SUM(D39:I39))</x:f>
      </x:c>
    </x:row>
    <x:row r="40">
      <x:c r="A40" s="26" t="str">
        <x:f>IF(OR(B40="",C40=""),"",B40&amp;"|"&amp;C40)</x:f>
      </x:c>
      <x:c r="B40" s="26"/>
      <x:c r="C40" s="26"/>
      <x:c r="D40" s="26"/>
      <x:c r="E40" s="26"/>
      <x:c r="F40" s="26"/>
      <x:c r="G40" s="26"/>
      <x:c r="H40" s="26"/>
      <x:c r="I40" s="26"/>
      <x:c r="J40" s="26"/>
      <x:c r="K40" s="27" t="str">
        <x:f>IF(COUNTA(D40:I40)=0,"",SUM(D40:I40))</x:f>
      </x:c>
    </x:row>
    <x:row r="41">
      <x:c r="A41" s="26" t="str">
        <x:f>IF(OR(B41="",C41=""),"",B41&amp;"|"&amp;C41)</x:f>
      </x:c>
      <x:c r="B41" s="26"/>
      <x:c r="C41" s="26"/>
      <x:c r="D41" s="26"/>
      <x:c r="E41" s="26"/>
      <x:c r="F41" s="26"/>
      <x:c r="G41" s="26"/>
      <x:c r="H41" s="26"/>
      <x:c r="I41" s="26"/>
      <x:c r="J41" s="26"/>
      <x:c r="K41" s="27" t="str">
        <x:f>IF(COUNTA(D41:I41)=0,"",SUM(D41:I41))</x:f>
      </x:c>
    </x:row>
    <x:row r="42">
      <x:c r="A42" s="26" t="str">
        <x:f>IF(OR(B42="",C42=""),"",B42&amp;"|"&amp;C42)</x:f>
      </x:c>
      <x:c r="B42" s="26"/>
      <x:c r="C42" s="26"/>
      <x:c r="D42" s="26"/>
      <x:c r="E42" s="26"/>
      <x:c r="F42" s="26"/>
      <x:c r="G42" s="26"/>
      <x:c r="H42" s="26"/>
      <x:c r="I42" s="26"/>
      <x:c r="J42" s="26"/>
      <x:c r="K42" s="27" t="str">
        <x:f>IF(COUNTA(D42:I42)=0,"",SUM(D42:I42))</x:f>
      </x:c>
    </x:row>
    <x:row r="43">
      <x:c r="A43" s="26" t="str">
        <x:f>IF(OR(B43="",C43=""),"",B43&amp;"|"&amp;C43)</x:f>
      </x:c>
      <x:c r="B43" s="26"/>
      <x:c r="C43" s="26"/>
      <x:c r="D43" s="26"/>
      <x:c r="E43" s="26"/>
      <x:c r="F43" s="26"/>
      <x:c r="G43" s="26"/>
      <x:c r="H43" s="26"/>
      <x:c r="I43" s="26"/>
      <x:c r="J43" s="26"/>
      <x:c r="K43" s="27" t="str">
        <x:f>IF(COUNTA(D43:I43)=0,"",SUM(D43:I43))</x:f>
      </x:c>
    </x:row>
    <x:row r="44">
      <x:c r="A44" s="26" t="str">
        <x:f>IF(OR(B44="",C44=""),"",B44&amp;"|"&amp;C44)</x:f>
      </x:c>
      <x:c r="B44" s="26"/>
      <x:c r="C44" s="26"/>
      <x:c r="D44" s="26"/>
      <x:c r="E44" s="26"/>
      <x:c r="F44" s="26"/>
      <x:c r="G44" s="26"/>
      <x:c r="H44" s="26"/>
      <x:c r="I44" s="26"/>
      <x:c r="J44" s="26"/>
      <x:c r="K44" s="27" t="str">
        <x:f>IF(COUNTA(D44:I44)=0,"",SUM(D44:I44))</x:f>
      </x:c>
    </x:row>
    <x:row r="45">
      <x:c r="A45" s="26" t="str">
        <x:f>IF(OR(B45="",C45=""),"",B45&amp;"|"&amp;C45)</x:f>
      </x:c>
      <x:c r="B45" s="26"/>
      <x:c r="C45" s="26"/>
      <x:c r="D45" s="26"/>
      <x:c r="E45" s="26"/>
      <x:c r="F45" s="26"/>
      <x:c r="G45" s="26"/>
      <x:c r="H45" s="26"/>
      <x:c r="I45" s="26"/>
      <x:c r="J45" s="26"/>
      <x:c r="K45" s="27" t="str">
        <x:f>IF(COUNTA(D45:I45)=0,"",SUM(D45:I45))</x:f>
      </x:c>
    </x:row>
    <x:row r="46">
      <x:c r="A46" s="26" t="str">
        <x:f>IF(OR(B46="",C46=""),"",B46&amp;"|"&amp;C46)</x:f>
      </x:c>
      <x:c r="B46" s="26"/>
      <x:c r="C46" s="26"/>
      <x:c r="D46" s="26"/>
      <x:c r="E46" s="26"/>
      <x:c r="F46" s="26"/>
      <x:c r="G46" s="26"/>
      <x:c r="H46" s="26"/>
      <x:c r="I46" s="26"/>
      <x:c r="J46" s="26"/>
      <x:c r="K46" s="27" t="str">
        <x:f>IF(COUNTA(D46:I46)=0,"",SUM(D46:I46))</x:f>
      </x:c>
    </x:row>
    <x:row r="47">
      <x:c r="A47" s="26" t="str">
        <x:f>IF(OR(B47="",C47=""),"",B47&amp;"|"&amp;C47)</x:f>
      </x:c>
      <x:c r="B47" s="26"/>
      <x:c r="C47" s="26"/>
      <x:c r="D47" s="26"/>
      <x:c r="E47" s="26"/>
      <x:c r="F47" s="26"/>
      <x:c r="G47" s="26"/>
      <x:c r="H47" s="26"/>
      <x:c r="I47" s="26"/>
      <x:c r="J47" s="26"/>
      <x:c r="K47" s="27" t="str">
        <x:f>IF(COUNTA(D47:I47)=0,"",SUM(D47:I47))</x:f>
      </x:c>
    </x:row>
    <x:row r="48">
      <x:c r="A48" s="26" t="str">
        <x:f>IF(OR(B48="",C48=""),"",B48&amp;"|"&amp;C48)</x:f>
      </x:c>
      <x:c r="B48" s="26"/>
      <x:c r="C48" s="26"/>
      <x:c r="D48" s="26"/>
      <x:c r="E48" s="26"/>
      <x:c r="F48" s="26"/>
      <x:c r="G48" s="26"/>
      <x:c r="H48" s="26"/>
      <x:c r="I48" s="26"/>
      <x:c r="J48" s="26"/>
      <x:c r="K48" s="27" t="str">
        <x:f>IF(COUNTA(D48:I48)=0,"",SUM(D48:I48))</x:f>
      </x:c>
    </x:row>
    <x:row r="49">
      <x:c r="A49" s="26" t="str">
        <x:f>IF(OR(B49="",C49=""),"",B49&amp;"|"&amp;C49)</x:f>
      </x:c>
      <x:c r="B49" s="26"/>
      <x:c r="C49" s="26"/>
      <x:c r="D49" s="26"/>
      <x:c r="E49" s="26"/>
      <x:c r="F49" s="26"/>
      <x:c r="G49" s="26"/>
      <x:c r="H49" s="26"/>
      <x:c r="I49" s="26"/>
      <x:c r="J49" s="26"/>
      <x:c r="K49" s="27" t="str">
        <x:f>IF(COUNTA(D49:I49)=0,"",SUM(D49:I49))</x:f>
      </x:c>
    </x:row>
    <x:row r="50">
      <x:c r="A50" s="26" t="str">
        <x:f>IF(OR(B50="",C50=""),"",B50&amp;"|"&amp;C50)</x:f>
      </x:c>
      <x:c r="B50" s="26"/>
      <x:c r="C50" s="26"/>
      <x:c r="D50" s="26"/>
      <x:c r="E50" s="26"/>
      <x:c r="F50" s="26"/>
      <x:c r="G50" s="26"/>
      <x:c r="H50" s="26"/>
      <x:c r="I50" s="26"/>
      <x:c r="J50" s="26"/>
      <x:c r="K50" s="27" t="str">
        <x:f>IF(COUNTA(D50:I50)=0,"",SUM(D50:I50))</x:f>
      </x:c>
    </x:row>
    <x:row r="51">
      <x:c r="A51" s="26" t="str">
        <x:f>IF(OR(B51="",C51=""),"",B51&amp;"|"&amp;C51)</x:f>
      </x:c>
      <x:c r="B51" s="26"/>
      <x:c r="C51" s="26"/>
      <x:c r="D51" s="26"/>
      <x:c r="E51" s="26"/>
      <x:c r="F51" s="26"/>
      <x:c r="G51" s="26"/>
      <x:c r="H51" s="26"/>
      <x:c r="I51" s="26"/>
      <x:c r="J51" s="26"/>
      <x:c r="K51" s="27" t="str">
        <x:f>IF(COUNTA(D51:I51)=0,"",SUM(D51:I51))</x:f>
      </x:c>
    </x:row>
    <x:row r="52">
      <x:c r="A52" s="26" t="str">
        <x:f>IF(OR(B52="",C52=""),"",B52&amp;"|"&amp;C52)</x:f>
      </x:c>
      <x:c r="B52" s="26"/>
      <x:c r="C52" s="26"/>
      <x:c r="D52" s="26"/>
      <x:c r="E52" s="26"/>
      <x:c r="F52" s="26"/>
      <x:c r="G52" s="26"/>
      <x:c r="H52" s="26"/>
      <x:c r="I52" s="26"/>
      <x:c r="J52" s="26"/>
      <x:c r="K52" s="27" t="str">
        <x:f>IF(COUNTA(D52:I52)=0,"",SUM(D52:I52))</x:f>
      </x:c>
    </x:row>
    <x:row r="53">
      <x:c r="A53" s="26" t="str">
        <x:f>IF(OR(B53="",C53=""),"",B53&amp;"|"&amp;C53)</x:f>
      </x:c>
      <x:c r="B53" s="26"/>
      <x:c r="C53" s="26"/>
      <x:c r="D53" s="26"/>
      <x:c r="E53" s="26"/>
      <x:c r="F53" s="26"/>
      <x:c r="G53" s="26"/>
      <x:c r="H53" s="26"/>
      <x:c r="I53" s="26"/>
      <x:c r="J53" s="26"/>
      <x:c r="K53" s="27" t="str">
        <x:f>IF(COUNTA(D53:I53)=0,"",SUM(D53:I53))</x:f>
      </x:c>
    </x:row>
    <x:row r="54">
      <x:c r="A54" s="26" t="str">
        <x:f>IF(OR(B54="",C54=""),"",B54&amp;"|"&amp;C54)</x:f>
      </x:c>
      <x:c r="B54" s="26"/>
      <x:c r="C54" s="26"/>
      <x:c r="D54" s="26"/>
      <x:c r="E54" s="26"/>
      <x:c r="F54" s="26"/>
      <x:c r="G54" s="26"/>
      <x:c r="H54" s="26"/>
      <x:c r="I54" s="26"/>
      <x:c r="J54" s="26"/>
      <x:c r="K54" s="27" t="str">
        <x:f>IF(COUNTA(D54:I54)=0,"",SUM(D54:I54))</x:f>
      </x:c>
    </x:row>
    <x:row r="55">
      <x:c r="A55" s="26" t="str">
        <x:f>IF(OR(B55="",C55=""),"",B55&amp;"|"&amp;C55)</x:f>
      </x:c>
      <x:c r="B55" s="26"/>
      <x:c r="C55" s="26"/>
      <x:c r="D55" s="26"/>
      <x:c r="E55" s="26"/>
      <x:c r="F55" s="26"/>
      <x:c r="G55" s="26"/>
      <x:c r="H55" s="26"/>
      <x:c r="I55" s="26"/>
      <x:c r="J55" s="26"/>
      <x:c r="K55" s="27" t="str">
        <x:f>IF(COUNTA(D55:I55)=0,"",SUM(D55:I55))</x:f>
      </x:c>
    </x:row>
    <x:row r="56">
      <x:c r="A56" s="26" t="str">
        <x:f>IF(OR(B56="",C56=""),"",B56&amp;"|"&amp;C56)</x:f>
      </x:c>
      <x:c r="B56" s="26"/>
      <x:c r="C56" s="26"/>
      <x:c r="D56" s="26"/>
      <x:c r="E56" s="26"/>
      <x:c r="F56" s="26"/>
      <x:c r="G56" s="26"/>
      <x:c r="H56" s="26"/>
      <x:c r="I56" s="26"/>
      <x:c r="J56" s="26"/>
      <x:c r="K56" s="27" t="str">
        <x:f>IF(COUNTA(D56:I56)=0,"",SUM(D56:I56))</x:f>
      </x:c>
    </x:row>
    <x:row r="57">
      <x:c r="A57" s="26" t="str">
        <x:f>IF(OR(B57="",C57=""),"",B57&amp;"|"&amp;C57)</x:f>
      </x:c>
      <x:c r="B57" s="26"/>
      <x:c r="C57" s="26"/>
      <x:c r="D57" s="26"/>
      <x:c r="E57" s="26"/>
      <x:c r="F57" s="26"/>
      <x:c r="G57" s="26"/>
      <x:c r="H57" s="26"/>
      <x:c r="I57" s="26"/>
      <x:c r="J57" s="26"/>
      <x:c r="K57" s="27" t="str">
        <x:f>IF(COUNTA(D57:I57)=0,"",SUM(D57:I57))</x:f>
      </x:c>
    </x:row>
    <x:row r="58">
      <x:c r="A58" s="26" t="str">
        <x:f>IF(OR(B58="",C58=""),"",B58&amp;"|"&amp;C58)</x:f>
      </x:c>
      <x:c r="B58" s="26"/>
      <x:c r="C58" s="26"/>
      <x:c r="D58" s="26"/>
      <x:c r="E58" s="26"/>
      <x:c r="F58" s="26"/>
      <x:c r="G58" s="26"/>
      <x:c r="H58" s="26"/>
      <x:c r="I58" s="26"/>
      <x:c r="J58" s="26"/>
      <x:c r="K58" s="27" t="str">
        <x:f>IF(COUNTA(D58:I58)=0,"",SUM(D58:I58))</x:f>
      </x:c>
    </x:row>
    <x:row r="59">
      <x:c r="A59" s="26" t="str">
        <x:f>IF(OR(B59="",C59=""),"",B59&amp;"|"&amp;C59)</x:f>
      </x:c>
      <x:c r="B59" s="26"/>
      <x:c r="C59" s="26"/>
      <x:c r="D59" s="26"/>
      <x:c r="E59" s="26"/>
      <x:c r="F59" s="26"/>
      <x:c r="G59" s="26"/>
      <x:c r="H59" s="26"/>
      <x:c r="I59" s="26"/>
      <x:c r="J59" s="26"/>
      <x:c r="K59" s="27" t="str">
        <x:f>IF(COUNTA(D59:I59)=0,"",SUM(D59:I59))</x:f>
      </x:c>
    </x:row>
    <x:row r="60">
      <x:c r="A60" s="26" t="str">
        <x:f>IF(OR(B60="",C60=""),"",B60&amp;"|"&amp;C60)</x:f>
      </x:c>
      <x:c r="B60" s="26"/>
      <x:c r="C60" s="26"/>
      <x:c r="D60" s="26"/>
      <x:c r="E60" s="26"/>
      <x:c r="F60" s="26"/>
      <x:c r="G60" s="26"/>
      <x:c r="H60" s="26"/>
      <x:c r="I60" s="26"/>
      <x:c r="J60" s="26"/>
      <x:c r="K60" s="27" t="str">
        <x:f>IF(COUNTA(D60:I60)=0,"",SUM(D60:I60))</x:f>
      </x:c>
    </x:row>
    <x:row r="61">
      <x:c r="A61" s="26" t="str">
        <x:f>IF(OR(B61="",C61=""),"",B61&amp;"|"&amp;C61)</x:f>
      </x:c>
      <x:c r="B61" s="26"/>
      <x:c r="C61" s="26"/>
      <x:c r="D61" s="26"/>
      <x:c r="E61" s="26"/>
      <x:c r="F61" s="26"/>
      <x:c r="G61" s="26"/>
      <x:c r="H61" s="26"/>
      <x:c r="I61" s="26"/>
      <x:c r="J61" s="26"/>
      <x:c r="K61" s="27" t="str">
        <x:f>IF(COUNTA(D61:I61)=0,"",SUM(D61:I61))</x:f>
      </x:c>
    </x:row>
    <x:row r="62">
      <x:c r="A62" s="26" t="str">
        <x:f>IF(OR(B62="",C62=""),"",B62&amp;"|"&amp;C62)</x:f>
      </x:c>
      <x:c r="B62" s="26"/>
      <x:c r="C62" s="26"/>
      <x:c r="D62" s="26"/>
      <x:c r="E62" s="26"/>
      <x:c r="F62" s="26"/>
      <x:c r="G62" s="26"/>
      <x:c r="H62" s="26"/>
      <x:c r="I62" s="26"/>
      <x:c r="J62" s="26"/>
      <x:c r="K62" s="27" t="str">
        <x:f>IF(COUNTA(D62:I62)=0,"",SUM(D62:I62))</x:f>
      </x:c>
    </x:row>
    <x:row r="63">
      <x:c r="A63" s="26" t="str">
        <x:f>IF(OR(B63="",C63=""),"",B63&amp;"|"&amp;C63)</x:f>
      </x:c>
      <x:c r="B63" s="26"/>
      <x:c r="C63" s="26"/>
      <x:c r="D63" s="26"/>
      <x:c r="E63" s="26"/>
      <x:c r="F63" s="26"/>
      <x:c r="G63" s="26"/>
      <x:c r="H63" s="26"/>
      <x:c r="I63" s="26"/>
      <x:c r="J63" s="26"/>
      <x:c r="K63" s="27" t="str">
        <x:f>IF(COUNTA(D63:I63)=0,"",SUM(D63:I63))</x:f>
      </x:c>
    </x:row>
    <x:row r="64">
      <x:c r="A64" s="26" t="str">
        <x:f>IF(OR(B64="",C64=""),"",B64&amp;"|"&amp;C64)</x:f>
      </x:c>
      <x:c r="B64" s="26"/>
      <x:c r="C64" s="26"/>
      <x:c r="D64" s="26"/>
      <x:c r="E64" s="26"/>
      <x:c r="F64" s="26"/>
      <x:c r="G64" s="26"/>
      <x:c r="H64" s="26"/>
      <x:c r="I64" s="26"/>
      <x:c r="J64" s="26"/>
      <x:c r="K64" s="27" t="str">
        <x:f>IF(COUNTA(D64:I64)=0,"",SUM(D64:I64))</x:f>
      </x:c>
    </x:row>
    <x:row r="65">
      <x:c r="A65" s="26" t="str">
        <x:f>IF(OR(B65="",C65=""),"",B65&amp;"|"&amp;C65)</x:f>
      </x:c>
      <x:c r="B65" s="26"/>
      <x:c r="C65" s="26"/>
      <x:c r="D65" s="26"/>
      <x:c r="E65" s="26"/>
      <x:c r="F65" s="26"/>
      <x:c r="G65" s="26"/>
      <x:c r="H65" s="26"/>
      <x:c r="I65" s="26"/>
      <x:c r="J65" s="26"/>
      <x:c r="K65" s="27" t="str">
        <x:f>IF(COUNTA(D65:I65)=0,"",SUM(D65:I65))</x:f>
      </x:c>
    </x:row>
    <x:row r="66">
      <x:c r="A66" s="26" t="str">
        <x:f>IF(OR(B66="",C66=""),"",B66&amp;"|"&amp;C66)</x:f>
      </x:c>
      <x:c r="B66" s="26"/>
      <x:c r="C66" s="26"/>
      <x:c r="D66" s="26"/>
      <x:c r="E66" s="26"/>
      <x:c r="F66" s="26"/>
      <x:c r="G66" s="26"/>
      <x:c r="H66" s="26"/>
      <x:c r="I66" s="26"/>
      <x:c r="J66" s="26"/>
      <x:c r="K66" s="27" t="str">
        <x:f>IF(COUNTA(D66:I66)=0,"",SUM(D66:I66))</x:f>
      </x:c>
    </x:row>
    <x:row r="67">
      <x:c r="A67" s="26" t="str">
        <x:f>IF(OR(B67="",C67=""),"",B67&amp;"|"&amp;C67)</x:f>
      </x:c>
      <x:c r="B67" s="26"/>
      <x:c r="C67" s="26"/>
      <x:c r="D67" s="26"/>
      <x:c r="E67" s="26"/>
      <x:c r="F67" s="26"/>
      <x:c r="G67" s="26"/>
      <x:c r="H67" s="26"/>
      <x:c r="I67" s="26"/>
      <x:c r="J67" s="26"/>
      <x:c r="K67" s="27" t="str">
        <x:f>IF(COUNTA(D67:I67)=0,"",SUM(D67:I67))</x:f>
      </x:c>
    </x:row>
    <x:row r="68">
      <x:c r="A68" s="26" t="str">
        <x:f>IF(OR(B68="",C68=""),"",B68&amp;"|"&amp;C68)</x:f>
      </x:c>
      <x:c r="B68" s="26"/>
      <x:c r="C68" s="26"/>
      <x:c r="D68" s="26"/>
      <x:c r="E68" s="26"/>
      <x:c r="F68" s="26"/>
      <x:c r="G68" s="26"/>
      <x:c r="H68" s="26"/>
      <x:c r="I68" s="26"/>
      <x:c r="J68" s="26"/>
      <x:c r="K68" s="27" t="str">
        <x:f>IF(COUNTA(D68:I68)=0,"",SUM(D68:I68))</x:f>
      </x:c>
    </x:row>
    <x:row r="69">
      <x:c r="A69" s="26" t="str">
        <x:f>IF(OR(B69="",C69=""),"",B69&amp;"|"&amp;C69)</x:f>
      </x:c>
      <x:c r="B69" s="26"/>
      <x:c r="C69" s="26"/>
      <x:c r="D69" s="26"/>
      <x:c r="E69" s="26"/>
      <x:c r="F69" s="26"/>
      <x:c r="G69" s="26"/>
      <x:c r="H69" s="26"/>
      <x:c r="I69" s="26"/>
      <x:c r="J69" s="26"/>
      <x:c r="K69" s="27" t="str">
        <x:f>IF(COUNTA(D69:I69)=0,"",SUM(D69:I69))</x:f>
      </x:c>
    </x:row>
    <x:row r="70">
      <x:c r="A70" s="26" t="str">
        <x:f>IF(OR(B70="",C70=""),"",B70&amp;"|"&amp;C70)</x:f>
      </x:c>
      <x:c r="B70" s="26"/>
      <x:c r="C70" s="26"/>
      <x:c r="D70" s="26"/>
      <x:c r="E70" s="26"/>
      <x:c r="F70" s="26"/>
      <x:c r="G70" s="26"/>
      <x:c r="H70" s="26"/>
      <x:c r="I70" s="26"/>
      <x:c r="J70" s="26"/>
      <x:c r="K70" s="27" t="str">
        <x:f>IF(COUNTA(D70:I70)=0,"",SUM(D70:I70))</x:f>
      </x:c>
    </x:row>
    <x:row r="71">
      <x:c r="A71" s="26" t="str">
        <x:f>IF(OR(B71="",C71=""),"",B71&amp;"|"&amp;C71)</x:f>
      </x:c>
      <x:c r="B71" s="26"/>
      <x:c r="C71" s="26"/>
      <x:c r="D71" s="26"/>
      <x:c r="E71" s="26"/>
      <x:c r="F71" s="26"/>
      <x:c r="G71" s="26"/>
      <x:c r="H71" s="26"/>
      <x:c r="I71" s="26"/>
      <x:c r="J71" s="26"/>
      <x:c r="K71" s="27" t="str">
        <x:f>IF(COUNTA(D71:I71)=0,"",SUM(D71:I71))</x:f>
      </x:c>
    </x:row>
    <x:row r="72">
      <x:c r="A72" s="26" t="str">
        <x:f>IF(OR(B72="",C72=""),"",B72&amp;"|"&amp;C72)</x:f>
      </x:c>
      <x:c r="B72" s="26"/>
      <x:c r="C72" s="26"/>
      <x:c r="D72" s="26"/>
      <x:c r="E72" s="26"/>
      <x:c r="F72" s="26"/>
      <x:c r="G72" s="26"/>
      <x:c r="H72" s="26"/>
      <x:c r="I72" s="26"/>
      <x:c r="J72" s="26"/>
      <x:c r="K72" s="27" t="str">
        <x:f>IF(COUNTA(D72:I72)=0,"",SUM(D72:I72))</x:f>
      </x:c>
    </x:row>
    <x:row r="73">
      <x:c r="A73" s="26" t="str">
        <x:f>IF(OR(B73="",C73=""),"",B73&amp;"|"&amp;C73)</x:f>
      </x:c>
      <x:c r="B73" s="26"/>
      <x:c r="C73" s="26"/>
      <x:c r="D73" s="26"/>
      <x:c r="E73" s="26"/>
      <x:c r="F73" s="26"/>
      <x:c r="G73" s="26"/>
      <x:c r="H73" s="26"/>
      <x:c r="I73" s="26"/>
      <x:c r="J73" s="26"/>
      <x:c r="K73" s="27" t="str">
        <x:f>IF(COUNTA(D73:I73)=0,"",SUM(D73:I73))</x:f>
      </x:c>
    </x:row>
    <x:row r="74">
      <x:c r="A74" s="26" t="str">
        <x:f>IF(OR(B74="",C74=""),"",B74&amp;"|"&amp;C74)</x:f>
      </x:c>
      <x:c r="B74" s="26"/>
      <x:c r="C74" s="26"/>
      <x:c r="D74" s="26"/>
      <x:c r="E74" s="26"/>
      <x:c r="F74" s="26"/>
      <x:c r="G74" s="26"/>
      <x:c r="H74" s="26"/>
      <x:c r="I74" s="26"/>
      <x:c r="J74" s="26"/>
      <x:c r="K74" s="27" t="str">
        <x:f>IF(COUNTA(D74:I74)=0,"",SUM(D74:I74))</x:f>
      </x:c>
    </x:row>
    <x:row r="75">
      <x:c r="A75" s="26" t="str">
        <x:f>IF(OR(B75="",C75=""),"",B75&amp;"|"&amp;C75)</x:f>
      </x:c>
      <x:c r="B75" s="26"/>
      <x:c r="C75" s="26"/>
      <x:c r="D75" s="26"/>
      <x:c r="E75" s="26"/>
      <x:c r="F75" s="26"/>
      <x:c r="G75" s="26"/>
      <x:c r="H75" s="26"/>
      <x:c r="I75" s="26"/>
      <x:c r="J75" s="26"/>
      <x:c r="K75" s="27" t="str">
        <x:f>IF(COUNTA(D75:I75)=0,"",SUM(D75:I75))</x:f>
      </x:c>
    </x:row>
    <x:row r="76">
      <x:c r="A76" s="26" t="str">
        <x:f>IF(OR(B76="",C76=""),"",B76&amp;"|"&amp;C76)</x:f>
      </x:c>
      <x:c r="B76" s="26"/>
      <x:c r="C76" s="26"/>
      <x:c r="D76" s="26"/>
      <x:c r="E76" s="26"/>
      <x:c r="F76" s="26"/>
      <x:c r="G76" s="26"/>
      <x:c r="H76" s="26"/>
      <x:c r="I76" s="26"/>
      <x:c r="J76" s="26"/>
      <x:c r="K76" s="27" t="str">
        <x:f>IF(COUNTA(D76:I76)=0,"",SUM(D76:I76))</x:f>
      </x:c>
    </x:row>
    <x:row r="77">
      <x:c r="A77" s="26" t="str">
        <x:f>IF(OR(B77="",C77=""),"",B77&amp;"|"&amp;C77)</x:f>
      </x:c>
      <x:c r="B77" s="26"/>
      <x:c r="C77" s="26"/>
      <x:c r="D77" s="26"/>
      <x:c r="E77" s="26"/>
      <x:c r="F77" s="26"/>
      <x:c r="G77" s="26"/>
      <x:c r="H77" s="26"/>
      <x:c r="I77" s="26"/>
      <x:c r="J77" s="26"/>
      <x:c r="K77" s="27" t="str">
        <x:f>IF(COUNTA(D77:I77)=0,"",SUM(D77:I77))</x:f>
      </x:c>
    </x:row>
    <x:row r="78">
      <x:c r="A78" s="26" t="str">
        <x:f>IF(OR(B78="",C78=""),"",B78&amp;"|"&amp;C78)</x:f>
      </x:c>
      <x:c r="B78" s="26"/>
      <x:c r="C78" s="26"/>
      <x:c r="D78" s="26"/>
      <x:c r="E78" s="26"/>
      <x:c r="F78" s="26"/>
      <x:c r="G78" s="26"/>
      <x:c r="H78" s="26"/>
      <x:c r="I78" s="26"/>
      <x:c r="J78" s="26"/>
      <x:c r="K78" s="27" t="str">
        <x:f>IF(COUNTA(D78:I78)=0,"",SUM(D78:I78))</x:f>
      </x:c>
    </x:row>
    <x:row r="79">
      <x:c r="A79" s="26" t="str">
        <x:f>IF(OR(B79="",C79=""),"",B79&amp;"|"&amp;C79)</x:f>
      </x:c>
      <x:c r="B79" s="26"/>
      <x:c r="C79" s="26"/>
      <x:c r="D79" s="26"/>
      <x:c r="E79" s="26"/>
      <x:c r="F79" s="26"/>
      <x:c r="G79" s="26"/>
      <x:c r="H79" s="26"/>
      <x:c r="I79" s="26"/>
      <x:c r="J79" s="26"/>
      <x:c r="K79" s="27" t="str">
        <x:f>IF(COUNTA(D79:I79)=0,"",SUM(D79:I79))</x:f>
      </x:c>
    </x:row>
    <x:row r="80">
      <x:c r="A80" s="26" t="str">
        <x:f>IF(OR(B80="",C80=""),"",B80&amp;"|"&amp;C80)</x:f>
      </x:c>
      <x:c r="B80" s="26"/>
      <x:c r="C80" s="26"/>
      <x:c r="D80" s="26"/>
      <x:c r="E80" s="26"/>
      <x:c r="F80" s="26"/>
      <x:c r="G80" s="26"/>
      <x:c r="H80" s="26"/>
      <x:c r="I80" s="26"/>
      <x:c r="J80" s="26"/>
      <x:c r="K80" s="27" t="str">
        <x:f>IF(COUNTA(D80:I80)=0,"",SUM(D80:I80))</x:f>
      </x:c>
    </x:row>
    <x:row r="81">
      <x:c r="A81" s="26" t="str">
        <x:f>IF(OR(B81="",C81=""),"",B81&amp;"|"&amp;C81)</x:f>
      </x:c>
      <x:c r="B81" s="26"/>
      <x:c r="C81" s="26"/>
      <x:c r="D81" s="26"/>
      <x:c r="E81" s="26"/>
      <x:c r="F81" s="26"/>
      <x:c r="G81" s="26"/>
      <x:c r="H81" s="26"/>
      <x:c r="I81" s="26"/>
      <x:c r="J81" s="26"/>
      <x:c r="K81" s="27" t="str">
        <x:f>IF(COUNTA(D81:I81)=0,"",SUM(D81:I81))</x:f>
      </x:c>
    </x:row>
    <x:row r="82">
      <x:c r="A82" s="26" t="str">
        <x:f>IF(OR(B82="",C82=""),"",B82&amp;"|"&amp;C82)</x:f>
      </x:c>
      <x:c r="B82" s="26"/>
      <x:c r="C82" s="26"/>
      <x:c r="D82" s="26"/>
      <x:c r="E82" s="26"/>
      <x:c r="F82" s="26"/>
      <x:c r="G82" s="26"/>
      <x:c r="H82" s="26"/>
      <x:c r="I82" s="26"/>
      <x:c r="J82" s="26"/>
      <x:c r="K82" s="27" t="str">
        <x:f>IF(COUNTA(D82:I82)=0,"",SUM(D82:I82))</x:f>
      </x:c>
    </x:row>
    <x:row r="83">
      <x:c r="A83" s="26" t="str">
        <x:f>IF(OR(B83="",C83=""),"",B83&amp;"|"&amp;C83)</x:f>
      </x:c>
      <x:c r="B83" s="26"/>
      <x:c r="C83" s="26"/>
      <x:c r="D83" s="26"/>
      <x:c r="E83" s="26"/>
      <x:c r="F83" s="26"/>
      <x:c r="G83" s="26"/>
      <x:c r="H83" s="26"/>
      <x:c r="I83" s="26"/>
      <x:c r="J83" s="26"/>
      <x:c r="K83" s="27" t="str">
        <x:f>IF(COUNTA(D83:I83)=0,"",SUM(D83:I83))</x:f>
      </x:c>
    </x:row>
    <x:row r="84">
      <x:c r="A84" s="26" t="str">
        <x:f>IF(OR(B84="",C84=""),"",B84&amp;"|"&amp;C84)</x:f>
      </x:c>
      <x:c r="B84" s="26"/>
      <x:c r="C84" s="26"/>
      <x:c r="D84" s="26"/>
      <x:c r="E84" s="26"/>
      <x:c r="F84" s="26"/>
      <x:c r="G84" s="26"/>
      <x:c r="H84" s="26"/>
      <x:c r="I84" s="26"/>
      <x:c r="J84" s="26"/>
      <x:c r="K84" s="27" t="str">
        <x:f>IF(COUNTA(D84:I84)=0,"",SUM(D84:I84))</x:f>
      </x:c>
    </x:row>
    <x:row r="85">
      <x:c r="A85" s="26" t="str">
        <x:f>IF(OR(B85="",C85=""),"",B85&amp;"|"&amp;C85)</x:f>
      </x:c>
      <x:c r="B85" s="26"/>
      <x:c r="C85" s="26"/>
      <x:c r="D85" s="26"/>
      <x:c r="E85" s="26"/>
      <x:c r="F85" s="26"/>
      <x:c r="G85" s="26"/>
      <x:c r="H85" s="26"/>
      <x:c r="I85" s="26"/>
      <x:c r="J85" s="26"/>
      <x:c r="K85" s="27" t="str">
        <x:f>IF(COUNTA(D85:I85)=0,"",SUM(D85:I85))</x:f>
      </x:c>
    </x:row>
    <x:row r="86">
      <x:c r="A86" s="26" t="str">
        <x:f>IF(OR(B86="",C86=""),"",B86&amp;"|"&amp;C86)</x:f>
      </x:c>
      <x:c r="B86" s="26"/>
      <x:c r="C86" s="26"/>
      <x:c r="D86" s="26"/>
      <x:c r="E86" s="26"/>
      <x:c r="F86" s="26"/>
      <x:c r="G86" s="26"/>
      <x:c r="H86" s="26"/>
      <x:c r="I86" s="26"/>
      <x:c r="J86" s="26"/>
      <x:c r="K86" s="27" t="str">
        <x:f>IF(COUNTA(D86:I86)=0,"",SUM(D86:I86))</x:f>
      </x:c>
    </x:row>
    <x:row r="87">
      <x:c r="A87" s="26" t="str">
        <x:f>IF(OR(B87="",C87=""),"",B87&amp;"|"&amp;C87)</x:f>
      </x:c>
      <x:c r="B87" s="26"/>
      <x:c r="C87" s="26"/>
      <x:c r="D87" s="26"/>
      <x:c r="E87" s="26"/>
      <x:c r="F87" s="26"/>
      <x:c r="G87" s="26"/>
      <x:c r="H87" s="26"/>
      <x:c r="I87" s="26"/>
      <x:c r="J87" s="26"/>
      <x:c r="K87" s="27" t="str">
        <x:f>IF(COUNTA(D87:I87)=0,"",SUM(D87:I87))</x:f>
      </x:c>
    </x:row>
    <x:row r="88">
      <x:c r="A88" s="26" t="str">
        <x:f>IF(OR(B88="",C88=""),"",B88&amp;"|"&amp;C88)</x:f>
      </x:c>
      <x:c r="B88" s="26"/>
      <x:c r="C88" s="26"/>
      <x:c r="D88" s="26"/>
      <x:c r="E88" s="26"/>
      <x:c r="F88" s="26"/>
      <x:c r="G88" s="26"/>
      <x:c r="H88" s="26"/>
      <x:c r="I88" s="26"/>
      <x:c r="J88" s="26"/>
      <x:c r="K88" s="27" t="str">
        <x:f>IF(COUNTA(D88:I88)=0,"",SUM(D88:I88))</x:f>
      </x:c>
    </x:row>
    <x:row r="89">
      <x:c r="A89" s="26" t="str">
        <x:f>IF(OR(B89="",C89=""),"",B89&amp;"|"&amp;C89)</x:f>
      </x:c>
      <x:c r="B89" s="26"/>
      <x:c r="C89" s="26"/>
      <x:c r="D89" s="26"/>
      <x:c r="E89" s="26"/>
      <x:c r="F89" s="26"/>
      <x:c r="G89" s="26"/>
      <x:c r="H89" s="26"/>
      <x:c r="I89" s="26"/>
      <x:c r="J89" s="26"/>
      <x:c r="K89" s="27" t="str">
        <x:f>IF(COUNTA(D89:I89)=0,"",SUM(D89:I89))</x:f>
      </x:c>
    </x:row>
    <x:row r="90">
      <x:c r="A90" s="26" t="str">
        <x:f>IF(OR(B90="",C90=""),"",B90&amp;"|"&amp;C90)</x:f>
      </x:c>
      <x:c r="B90" s="26"/>
      <x:c r="C90" s="26"/>
      <x:c r="D90" s="26"/>
      <x:c r="E90" s="26"/>
      <x:c r="F90" s="26"/>
      <x:c r="G90" s="26"/>
      <x:c r="H90" s="26"/>
      <x:c r="I90" s="26"/>
      <x:c r="J90" s="26"/>
      <x:c r="K90" s="27" t="str">
        <x:f>IF(COUNTA(D90:I90)=0,"",SUM(D90:I90))</x:f>
      </x:c>
    </x:row>
    <x:row r="91">
      <x:c r="A91" s="26" t="str">
        <x:f>IF(OR(B91="",C91=""),"",B91&amp;"|"&amp;C91)</x:f>
      </x:c>
      <x:c r="B91" s="26"/>
      <x:c r="C91" s="26"/>
      <x:c r="D91" s="26"/>
      <x:c r="E91" s="26"/>
      <x:c r="F91" s="26"/>
      <x:c r="G91" s="26"/>
      <x:c r="H91" s="26"/>
      <x:c r="I91" s="26"/>
      <x:c r="J91" s="26"/>
      <x:c r="K91" s="27" t="str">
        <x:f>IF(COUNTA(D91:I91)=0,"",SUM(D91:I91))</x:f>
      </x:c>
    </x:row>
    <x:row r="92">
      <x:c r="A92" s="26" t="str">
        <x:f>IF(OR(B92="",C92=""),"",B92&amp;"|"&amp;C92)</x:f>
      </x:c>
      <x:c r="B92" s="26"/>
      <x:c r="C92" s="26"/>
      <x:c r="D92" s="26"/>
      <x:c r="E92" s="26"/>
      <x:c r="F92" s="26"/>
      <x:c r="G92" s="26"/>
      <x:c r="H92" s="26"/>
      <x:c r="I92" s="26"/>
      <x:c r="J92" s="26"/>
      <x:c r="K92" s="27" t="str">
        <x:f>IF(COUNTA(D92:I92)=0,"",SUM(D92:I92))</x:f>
      </x:c>
    </x:row>
    <x:row r="93">
      <x:c r="A93" s="26" t="str">
        <x:f>IF(OR(B93="",C93=""),"",B93&amp;"|"&amp;C93)</x:f>
      </x:c>
      <x:c r="B93" s="26"/>
      <x:c r="C93" s="26"/>
      <x:c r="D93" s="26"/>
      <x:c r="E93" s="26"/>
      <x:c r="F93" s="26"/>
      <x:c r="G93" s="26"/>
      <x:c r="H93" s="26"/>
      <x:c r="I93" s="26"/>
      <x:c r="J93" s="26"/>
      <x:c r="K93" s="27" t="str">
        <x:f>IF(COUNTA(D93:I93)=0,"",SUM(D93:I93))</x:f>
      </x:c>
    </x:row>
    <x:row r="94">
      <x:c r="A94" s="26" t="str">
        <x:f>IF(OR(B94="",C94=""),"",B94&amp;"|"&amp;C94)</x:f>
      </x:c>
      <x:c r="B94" s="26"/>
      <x:c r="C94" s="26"/>
      <x:c r="D94" s="26"/>
      <x:c r="E94" s="26"/>
      <x:c r="F94" s="26"/>
      <x:c r="G94" s="26"/>
      <x:c r="H94" s="26"/>
      <x:c r="I94" s="26"/>
      <x:c r="J94" s="26"/>
      <x:c r="K94" s="27" t="str">
        <x:f>IF(COUNTA(D94:I94)=0,"",SUM(D94:I94))</x:f>
      </x:c>
    </x:row>
    <x:row r="95">
      <x:c r="A95" s="26" t="str">
        <x:f>IF(OR(B95="",C95=""),"",B95&amp;"|"&amp;C95)</x:f>
      </x:c>
      <x:c r="B95" s="26"/>
      <x:c r="C95" s="26"/>
      <x:c r="D95" s="26"/>
      <x:c r="E95" s="26"/>
      <x:c r="F95" s="26"/>
      <x:c r="G95" s="26"/>
      <x:c r="H95" s="26"/>
      <x:c r="I95" s="26"/>
      <x:c r="J95" s="26"/>
      <x:c r="K95" s="27" t="str">
        <x:f>IF(COUNTA(D95:I95)=0,"",SUM(D95:I95))</x:f>
      </x:c>
    </x:row>
    <x:row r="96">
      <x:c r="A96" s="26" t="str">
        <x:f>IF(OR(B96="",C96=""),"",B96&amp;"|"&amp;C96)</x:f>
      </x:c>
      <x:c r="B96" s="26"/>
      <x:c r="C96" s="26"/>
      <x:c r="D96" s="26"/>
      <x:c r="E96" s="26"/>
      <x:c r="F96" s="26"/>
      <x:c r="G96" s="26"/>
      <x:c r="H96" s="26"/>
      <x:c r="I96" s="26"/>
      <x:c r="J96" s="26"/>
      <x:c r="K96" s="27" t="str">
        <x:f>IF(COUNTA(D96:I96)=0,"",SUM(D96:I96))</x:f>
      </x:c>
    </x:row>
    <x:row r="97">
      <x:c r="A97" s="26" t="str">
        <x:f>IF(OR(B97="",C97=""),"",B97&amp;"|"&amp;C97)</x:f>
      </x:c>
      <x:c r="B97" s="26"/>
      <x:c r="C97" s="26"/>
      <x:c r="D97" s="26"/>
      <x:c r="E97" s="26"/>
      <x:c r="F97" s="26"/>
      <x:c r="G97" s="26"/>
      <x:c r="H97" s="26"/>
      <x:c r="I97" s="26"/>
      <x:c r="J97" s="26"/>
      <x:c r="K97" s="27" t="str">
        <x:f>IF(COUNTA(D97:I97)=0,"",SUM(D97:I97))</x:f>
      </x:c>
    </x:row>
    <x:row r="98">
      <x:c r="A98" s="26" t="str">
        <x:f>IF(OR(B98="",C98=""),"",B98&amp;"|"&amp;C98)</x:f>
      </x:c>
      <x:c r="B98" s="26"/>
      <x:c r="C98" s="26"/>
      <x:c r="D98" s="26"/>
      <x:c r="E98" s="26"/>
      <x:c r="F98" s="26"/>
      <x:c r="G98" s="26"/>
      <x:c r="H98" s="26"/>
      <x:c r="I98" s="26"/>
      <x:c r="J98" s="26"/>
      <x:c r="K98" s="27" t="str">
        <x:f>IF(COUNTA(D98:I98)=0,"",SUM(D98:I98))</x:f>
      </x:c>
    </x:row>
    <x:row r="99">
      <x:c r="A99" s="26" t="str">
        <x:f>IF(OR(B99="",C99=""),"",B99&amp;"|"&amp;C99)</x:f>
      </x:c>
      <x:c r="B99" s="26"/>
      <x:c r="C99" s="26"/>
      <x:c r="D99" s="26"/>
      <x:c r="E99" s="26"/>
      <x:c r="F99" s="26"/>
      <x:c r="G99" s="26"/>
      <x:c r="H99" s="26"/>
      <x:c r="I99" s="26"/>
      <x:c r="J99" s="26"/>
      <x:c r="K99" s="27" t="str">
        <x:f>IF(COUNTA(D99:I99)=0,"",SUM(D99:I99))</x:f>
      </x:c>
    </x:row>
    <x:row r="100">
      <x:c r="A100" s="26" t="str">
        <x:f>IF(OR(B100="",C100=""),"",B100&amp;"|"&amp;C100)</x:f>
      </x:c>
      <x:c r="B100" s="26"/>
      <x:c r="C100" s="26"/>
      <x:c r="D100" s="26"/>
      <x:c r="E100" s="26"/>
      <x:c r="F100" s="26"/>
      <x:c r="G100" s="26"/>
      <x:c r="H100" s="26"/>
      <x:c r="I100" s="26"/>
      <x:c r="J100" s="26"/>
      <x:c r="K100" s="27" t="str">
        <x:f>IF(COUNTA(D100:I100)=0,"",SUM(D100:I100))</x:f>
      </x:c>
    </x:row>
    <x:row r="101">
      <x:c r="A101" s="26" t="str">
        <x:f>IF(OR(B101="",C101=""),"",B101&amp;"|"&amp;C101)</x:f>
      </x:c>
      <x:c r="B101" s="26"/>
      <x:c r="C101" s="26"/>
      <x:c r="D101" s="26"/>
      <x:c r="E101" s="26"/>
      <x:c r="F101" s="26"/>
      <x:c r="G101" s="26"/>
      <x:c r="H101" s="26"/>
      <x:c r="I101" s="26"/>
      <x:c r="J101" s="26"/>
      <x:c r="K101" s="27" t="str">
        <x:f>IF(COUNTA(D101:I101)=0,"",SUM(D101:I101))</x:f>
      </x:c>
    </x:row>
    <x:row r="102">
      <x:c r="A102" s="26" t="str">
        <x:f>IF(OR(B102="",C102=""),"",B102&amp;"|"&amp;C102)</x:f>
      </x:c>
      <x:c r="B102" s="26"/>
      <x:c r="C102" s="26"/>
      <x:c r="D102" s="26"/>
      <x:c r="E102" s="26"/>
      <x:c r="F102" s="26"/>
      <x:c r="G102" s="26"/>
      <x:c r="H102" s="26"/>
      <x:c r="I102" s="26"/>
      <x:c r="J102" s="26"/>
      <x:c r="K102" s="27" t="str">
        <x:f>IF(COUNTA(D102:I102)=0,"",SUM(D102:I102))</x:f>
      </x:c>
    </x:row>
    <x:row r="103">
      <x:c r="A103" s="26" t="str">
        <x:f>IF(OR(B103="",C103=""),"",B103&amp;"|"&amp;C103)</x:f>
      </x:c>
      <x:c r="B103" s="26"/>
      <x:c r="C103" s="26"/>
      <x:c r="D103" s="26"/>
      <x:c r="E103" s="26"/>
      <x:c r="F103" s="26"/>
      <x:c r="G103" s="26"/>
      <x:c r="H103" s="26"/>
      <x:c r="I103" s="26"/>
      <x:c r="J103" s="26"/>
      <x:c r="K103" s="27" t="str">
        <x:f>IF(COUNTA(D103:I103)=0,"",SUM(D103:I103))</x:f>
      </x:c>
    </x:row>
    <x:row r="104">
      <x:c r="A104" s="26" t="str">
        <x:f>IF(OR(B104="",C104=""),"",B104&amp;"|"&amp;C104)</x:f>
      </x:c>
      <x:c r="B104" s="26"/>
      <x:c r="C104" s="26"/>
      <x:c r="D104" s="26"/>
      <x:c r="E104" s="26"/>
      <x:c r="F104" s="26"/>
      <x:c r="G104" s="26"/>
      <x:c r="H104" s="26"/>
      <x:c r="I104" s="26"/>
      <x:c r="J104" s="26"/>
      <x:c r="K104" s="27" t="str">
        <x:f>IF(COUNTA(D104:I104)=0,"",SUM(D104:I104))</x:f>
      </x:c>
    </x:row>
    <x:row r="105">
      <x:c r="A105" s="26" t="str">
        <x:f>IF(OR(B105="",C105=""),"",B105&amp;"|"&amp;C105)</x:f>
      </x:c>
      <x:c r="B105" s="26"/>
      <x:c r="C105" s="26"/>
      <x:c r="D105" s="26"/>
      <x:c r="E105" s="26"/>
      <x:c r="F105" s="26"/>
      <x:c r="G105" s="26"/>
      <x:c r="H105" s="26"/>
      <x:c r="I105" s="26"/>
      <x:c r="J105" s="26"/>
      <x:c r="K105" s="27" t="str">
        <x:f>IF(COUNTA(D105:I105)=0,"",SUM(D105:I105))</x:f>
      </x:c>
    </x:row>
    <x:row r="106">
      <x:c r="A106" s="26" t="str">
        <x:f>IF(OR(B106="",C106=""),"",B106&amp;"|"&amp;C106)</x:f>
      </x:c>
      <x:c r="B106" s="26"/>
      <x:c r="C106" s="26"/>
      <x:c r="D106" s="26"/>
      <x:c r="E106" s="26"/>
      <x:c r="F106" s="26"/>
      <x:c r="G106" s="26"/>
      <x:c r="H106" s="26"/>
      <x:c r="I106" s="26"/>
      <x:c r="J106" s="26"/>
      <x:c r="K106" s="27" t="str">
        <x:f>IF(COUNTA(D106:I106)=0,"",SUM(D106:I106))</x:f>
      </x:c>
    </x:row>
    <x:row r="107">
      <x:c r="A107" s="26" t="str">
        <x:f>IF(OR(B107="",C107=""),"",B107&amp;"|"&amp;C107)</x:f>
      </x:c>
      <x:c r="B107" s="26"/>
      <x:c r="C107" s="26"/>
      <x:c r="D107" s="26"/>
      <x:c r="E107" s="26"/>
      <x:c r="F107" s="26"/>
      <x:c r="G107" s="26"/>
      <x:c r="H107" s="26"/>
      <x:c r="I107" s="26"/>
      <x:c r="J107" s="26"/>
      <x:c r="K107" s="27" t="str">
        <x:f>IF(COUNTA(D107:I107)=0,"",SUM(D107:I107))</x:f>
      </x:c>
    </x:row>
    <x:row r="108">
      <x:c r="A108" s="26" t="str">
        <x:f>IF(OR(B108="",C108=""),"",B108&amp;"|"&amp;C108)</x:f>
      </x:c>
      <x:c r="B108" s="26"/>
      <x:c r="C108" s="26"/>
      <x:c r="D108" s="26"/>
      <x:c r="E108" s="26"/>
      <x:c r="F108" s="26"/>
      <x:c r="G108" s="26"/>
      <x:c r="H108" s="26"/>
      <x:c r="I108" s="26"/>
      <x:c r="J108" s="26"/>
      <x:c r="K108" s="27" t="str">
        <x:f>IF(COUNTA(D108:I108)=0,"",SUM(D108:I108))</x:f>
      </x:c>
    </x:row>
    <x:row r="109">
      <x:c r="A109" s="26" t="str">
        <x:f>IF(OR(B109="",C109=""),"",B109&amp;"|"&amp;C109)</x:f>
      </x:c>
      <x:c r="B109" s="26"/>
      <x:c r="C109" s="26"/>
      <x:c r="D109" s="26"/>
      <x:c r="E109" s="26"/>
      <x:c r="F109" s="26"/>
      <x:c r="G109" s="26"/>
      <x:c r="H109" s="26"/>
      <x:c r="I109" s="26"/>
      <x:c r="J109" s="26"/>
      <x:c r="K109" s="27" t="str">
        <x:f>IF(COUNTA(D109:I109)=0,"",SUM(D109:I109))</x:f>
      </x:c>
    </x:row>
    <x:row r="110">
      <x:c r="A110" s="26" t="str">
        <x:f>IF(OR(B110="",C110=""),"",B110&amp;"|"&amp;C110)</x:f>
      </x:c>
      <x:c r="B110" s="26"/>
      <x:c r="C110" s="26"/>
      <x:c r="D110" s="26"/>
      <x:c r="E110" s="26"/>
      <x:c r="F110" s="26"/>
      <x:c r="G110" s="26"/>
      <x:c r="H110" s="26"/>
      <x:c r="I110" s="26"/>
      <x:c r="J110" s="26"/>
      <x:c r="K110" s="27" t="str">
        <x:f>IF(COUNTA(D110:I110)=0,"",SUM(D110:I110))</x:f>
      </x:c>
    </x:row>
    <x:row r="111">
      <x:c r="A111" s="26" t="str">
        <x:f>IF(OR(B111="",C111=""),"",B111&amp;"|"&amp;C111)</x:f>
      </x:c>
      <x:c r="B111" s="26"/>
      <x:c r="C111" s="26"/>
      <x:c r="D111" s="26"/>
      <x:c r="E111" s="26"/>
      <x:c r="F111" s="26"/>
      <x:c r="G111" s="26"/>
      <x:c r="H111" s="26"/>
      <x:c r="I111" s="26"/>
      <x:c r="J111" s="26"/>
      <x:c r="K111" s="27" t="str">
        <x:f>IF(COUNTA(D111:I111)=0,"",SUM(D111:I111))</x:f>
      </x:c>
    </x:row>
    <x:row r="112">
      <x:c r="A112" s="26" t="str">
        <x:f>IF(OR(B112="",C112=""),"",B112&amp;"|"&amp;C112)</x:f>
      </x:c>
      <x:c r="B112" s="26"/>
      <x:c r="C112" s="26"/>
      <x:c r="D112" s="26"/>
      <x:c r="E112" s="26"/>
      <x:c r="F112" s="26"/>
      <x:c r="G112" s="26"/>
      <x:c r="H112" s="26"/>
      <x:c r="I112" s="26"/>
      <x:c r="J112" s="26"/>
      <x:c r="K112" s="27" t="str">
        <x:f>IF(COUNTA(D112:I112)=0,"",SUM(D112:I112))</x:f>
      </x:c>
    </x:row>
    <x:row r="113">
      <x:c r="A113" s="26" t="str">
        <x:f>IF(OR(B113="",C113=""),"",B113&amp;"|"&amp;C113)</x:f>
      </x:c>
      <x:c r="B113" s="26"/>
      <x:c r="C113" s="26"/>
      <x:c r="D113" s="26"/>
      <x:c r="E113" s="26"/>
      <x:c r="F113" s="26"/>
      <x:c r="G113" s="26"/>
      <x:c r="H113" s="26"/>
      <x:c r="I113" s="26"/>
      <x:c r="J113" s="26"/>
      <x:c r="K113" s="27" t="str">
        <x:f>IF(COUNTA(D113:I113)=0,"",SUM(D113:I113))</x:f>
      </x:c>
    </x:row>
    <x:row r="114">
      <x:c r="A114" s="26" t="str">
        <x:f>IF(OR(B114="",C114=""),"",B114&amp;"|"&amp;C114)</x:f>
      </x:c>
      <x:c r="B114" s="26"/>
      <x:c r="C114" s="26"/>
      <x:c r="D114" s="26"/>
      <x:c r="E114" s="26"/>
      <x:c r="F114" s="26"/>
      <x:c r="G114" s="26"/>
      <x:c r="H114" s="26"/>
      <x:c r="I114" s="26"/>
      <x:c r="J114" s="26"/>
      <x:c r="K114" s="27" t="str">
        <x:f>IF(COUNTA(D114:I114)=0,"",SUM(D114:I114))</x:f>
      </x:c>
    </x:row>
    <x:row r="115">
      <x:c r="A115" s="26" t="str">
        <x:f>IF(OR(B115="",C115=""),"",B115&amp;"|"&amp;C115)</x:f>
      </x:c>
      <x:c r="B115" s="26"/>
      <x:c r="C115" s="26"/>
      <x:c r="D115" s="26"/>
      <x:c r="E115" s="26"/>
      <x:c r="F115" s="26"/>
      <x:c r="G115" s="26"/>
      <x:c r="H115" s="26"/>
      <x:c r="I115" s="26"/>
      <x:c r="J115" s="26"/>
      <x:c r="K115" s="27" t="str">
        <x:f>IF(COUNTA(D115:I115)=0,"",SUM(D115:I115))</x:f>
      </x:c>
    </x:row>
    <x:row r="116">
      <x:c r="A116" s="26" t="str">
        <x:f>IF(OR(B116="",C116=""),"",B116&amp;"|"&amp;C116)</x:f>
      </x:c>
      <x:c r="B116" s="26"/>
      <x:c r="C116" s="26"/>
      <x:c r="D116" s="26"/>
      <x:c r="E116" s="26"/>
      <x:c r="F116" s="26"/>
      <x:c r="G116" s="26"/>
      <x:c r="H116" s="26"/>
      <x:c r="I116" s="26"/>
      <x:c r="J116" s="26"/>
      <x:c r="K116" s="27" t="str">
        <x:f>IF(COUNTA(D116:I116)=0,"",SUM(D116:I116))</x:f>
      </x:c>
    </x:row>
    <x:row r="117">
      <x:c r="A117" s="26" t="str">
        <x:f>IF(OR(B117="",C117=""),"",B117&amp;"|"&amp;C117)</x:f>
      </x:c>
      <x:c r="B117" s="26"/>
      <x:c r="C117" s="26"/>
      <x:c r="D117" s="26"/>
      <x:c r="E117" s="26"/>
      <x:c r="F117" s="26"/>
      <x:c r="G117" s="26"/>
      <x:c r="H117" s="26"/>
      <x:c r="I117" s="26"/>
      <x:c r="J117" s="26"/>
      <x:c r="K117" s="27" t="str">
        <x:f>IF(COUNTA(D117:I117)=0,"",SUM(D117:I117))</x:f>
      </x:c>
    </x:row>
    <x:row r="118">
      <x:c r="A118" s="26" t="str">
        <x:f>IF(OR(B118="",C118=""),"",B118&amp;"|"&amp;C118)</x:f>
      </x:c>
      <x:c r="B118" s="26"/>
      <x:c r="C118" s="26"/>
      <x:c r="D118" s="26"/>
      <x:c r="E118" s="26"/>
      <x:c r="F118" s="26"/>
      <x:c r="G118" s="26"/>
      <x:c r="H118" s="26"/>
      <x:c r="I118" s="26"/>
      <x:c r="J118" s="26"/>
      <x:c r="K118" s="27" t="str">
        <x:f>IF(COUNTA(D118:I118)=0,"",SUM(D118:I118))</x:f>
      </x:c>
    </x:row>
    <x:row r="119">
      <x:c r="A119" s="26" t="str">
        <x:f>IF(OR(B119="",C119=""),"",B119&amp;"|"&amp;C119)</x:f>
      </x:c>
      <x:c r="B119" s="26"/>
      <x:c r="C119" s="26"/>
      <x:c r="D119" s="26"/>
      <x:c r="E119" s="26"/>
      <x:c r="F119" s="26"/>
      <x:c r="G119" s="26"/>
      <x:c r="H119" s="26"/>
      <x:c r="I119" s="26"/>
      <x:c r="J119" s="26"/>
      <x:c r="K119" s="27" t="str">
        <x:f>IF(COUNTA(D119:I119)=0,"",SUM(D119:I119))</x:f>
      </x:c>
    </x:row>
    <x:row r="120">
      <x:c r="A120" s="26" t="str">
        <x:f>IF(OR(B120="",C120=""),"",B120&amp;"|"&amp;C120)</x:f>
      </x:c>
      <x:c r="B120" s="26"/>
      <x:c r="C120" s="26"/>
      <x:c r="D120" s="26"/>
      <x:c r="E120" s="26"/>
      <x:c r="F120" s="26"/>
      <x:c r="G120" s="26"/>
      <x:c r="H120" s="26"/>
      <x:c r="I120" s="26"/>
      <x:c r="J120" s="26"/>
      <x:c r="K120" s="27" t="str">
        <x:f>IF(COUNTA(D120:I120)=0,"",SUM(D120:I120))</x:f>
      </x:c>
    </x:row>
    <x:row r="121">
      <x:c r="A121" s="26" t="str">
        <x:f>IF(OR(B121="",C121=""),"",B121&amp;"|"&amp;C121)</x:f>
      </x:c>
      <x:c r="B121" s="26"/>
      <x:c r="C121" s="26"/>
      <x:c r="D121" s="26"/>
      <x:c r="E121" s="26"/>
      <x:c r="F121" s="26"/>
      <x:c r="G121" s="26"/>
      <x:c r="H121" s="26"/>
      <x:c r="I121" s="26"/>
      <x:c r="J121" s="26"/>
      <x:c r="K121" s="27" t="str">
        <x:f>IF(COUNTA(D121:I121)=0,"",SUM(D121:I121))</x:f>
      </x:c>
    </x:row>
    <x:row r="122">
      <x:c r="A122" s="26" t="str">
        <x:f>IF(OR(B122="",C122=""),"",B122&amp;"|"&amp;C122)</x:f>
      </x:c>
      <x:c r="B122" s="26"/>
      <x:c r="C122" s="26"/>
      <x:c r="D122" s="26"/>
      <x:c r="E122" s="26"/>
      <x:c r="F122" s="26"/>
      <x:c r="G122" s="26"/>
      <x:c r="H122" s="26"/>
      <x:c r="I122" s="26"/>
      <x:c r="J122" s="26"/>
      <x:c r="K122" s="27" t="str">
        <x:f>IF(COUNTA(D122:I122)=0,"",SUM(D122:I122))</x:f>
      </x:c>
    </x:row>
    <x:row r="123">
      <x:c r="A123" s="26" t="str">
        <x:f>IF(OR(B123="",C123=""),"",B123&amp;"|"&amp;C123)</x:f>
      </x:c>
      <x:c r="B123" s="26"/>
      <x:c r="C123" s="26"/>
      <x:c r="D123" s="26"/>
      <x:c r="E123" s="26"/>
      <x:c r="F123" s="26"/>
      <x:c r="G123" s="26"/>
      <x:c r="H123" s="26"/>
      <x:c r="I123" s="26"/>
      <x:c r="J123" s="26"/>
      <x:c r="K123" s="27" t="str">
        <x:f>IF(COUNTA(D123:I123)=0,"",SUM(D123:I123))</x:f>
      </x:c>
    </x:row>
    <x:row r="124">
      <x:c r="A124" s="26" t="str">
        <x:f>IF(OR(B124="",C124=""),"",B124&amp;"|"&amp;C124)</x:f>
      </x:c>
      <x:c r="B124" s="26"/>
      <x:c r="C124" s="26"/>
      <x:c r="D124" s="26"/>
      <x:c r="E124" s="26"/>
      <x:c r="F124" s="26"/>
      <x:c r="G124" s="26"/>
      <x:c r="H124" s="26"/>
      <x:c r="I124" s="26"/>
      <x:c r="J124" s="26"/>
      <x:c r="K124" s="27" t="str">
        <x:f>IF(COUNTA(D124:I124)=0,"",SUM(D124:I124))</x:f>
      </x:c>
    </x:row>
    <x:row r="125">
      <x:c r="A125" s="26" t="str">
        <x:f>IF(OR(B125="",C125=""),"",B125&amp;"|"&amp;C125)</x:f>
      </x:c>
      <x:c r="B125" s="26"/>
      <x:c r="C125" s="26"/>
      <x:c r="D125" s="26"/>
      <x:c r="E125" s="26"/>
      <x:c r="F125" s="26"/>
      <x:c r="G125" s="26"/>
      <x:c r="H125" s="26"/>
      <x:c r="I125" s="26"/>
      <x:c r="J125" s="26"/>
      <x:c r="K125" s="27" t="str">
        <x:f>IF(COUNTA(D125:I125)=0,"",SUM(D125:I125))</x:f>
      </x:c>
    </x:row>
    <x:row r="126">
      <x:c r="A126" s="26" t="str">
        <x:f>IF(OR(B126="",C126=""),"",B126&amp;"|"&amp;C126)</x:f>
      </x:c>
      <x:c r="B126" s="26"/>
      <x:c r="C126" s="26"/>
      <x:c r="D126" s="26"/>
      <x:c r="E126" s="26"/>
      <x:c r="F126" s="26"/>
      <x:c r="G126" s="26"/>
      <x:c r="H126" s="26"/>
      <x:c r="I126" s="26"/>
      <x:c r="J126" s="26"/>
      <x:c r="K126" s="27" t="str">
        <x:f>IF(COUNTA(D126:I126)=0,"",SUM(D126:I126))</x:f>
      </x:c>
    </x:row>
    <x:row r="127">
      <x:c r="A127" s="26" t="str">
        <x:f>IF(OR(B127="",C127=""),"",B127&amp;"|"&amp;C127)</x:f>
      </x:c>
      <x:c r="B127" s="26"/>
      <x:c r="C127" s="26"/>
      <x:c r="D127" s="26"/>
      <x:c r="E127" s="26"/>
      <x:c r="F127" s="26"/>
      <x:c r="G127" s="26"/>
      <x:c r="H127" s="26"/>
      <x:c r="I127" s="26"/>
      <x:c r="J127" s="26"/>
      <x:c r="K127" s="27" t="str">
        <x:f>IF(COUNTA(D127:I127)=0,"",SUM(D127:I127))</x:f>
      </x:c>
    </x:row>
    <x:row r="128">
      <x:c r="A128" s="26" t="str">
        <x:f>IF(OR(B128="",C128=""),"",B128&amp;"|"&amp;C128)</x:f>
      </x:c>
      <x:c r="B128" s="26"/>
      <x:c r="C128" s="26"/>
      <x:c r="D128" s="26"/>
      <x:c r="E128" s="26"/>
      <x:c r="F128" s="26"/>
      <x:c r="G128" s="26"/>
      <x:c r="H128" s="26"/>
      <x:c r="I128" s="26"/>
      <x:c r="J128" s="26"/>
      <x:c r="K128" s="27" t="str">
        <x:f>IF(COUNTA(D128:I128)=0,"",SUM(D128:I128))</x:f>
      </x:c>
    </x:row>
    <x:row r="129">
      <x:c r="A129" s="26" t="str">
        <x:f>IF(OR(B129="",C129=""),"",B129&amp;"|"&amp;C129)</x:f>
      </x:c>
      <x:c r="B129" s="26"/>
      <x:c r="C129" s="26"/>
      <x:c r="D129" s="26"/>
      <x:c r="E129" s="26"/>
      <x:c r="F129" s="26"/>
      <x:c r="G129" s="26"/>
      <x:c r="H129" s="26"/>
      <x:c r="I129" s="26"/>
      <x:c r="J129" s="26"/>
      <x:c r="K129" s="27" t="str">
        <x:f>IF(COUNTA(D129:I129)=0,"",SUM(D129:I129))</x:f>
      </x:c>
    </x:row>
    <x:row r="130">
      <x:c r="A130" s="26" t="str">
        <x:f>IF(OR(B130="",C130=""),"",B130&amp;"|"&amp;C130)</x:f>
      </x:c>
      <x:c r="B130" s="26"/>
      <x:c r="C130" s="26"/>
      <x:c r="D130" s="26"/>
      <x:c r="E130" s="26"/>
      <x:c r="F130" s="26"/>
      <x:c r="G130" s="26"/>
      <x:c r="H130" s="26"/>
      <x:c r="I130" s="26"/>
      <x:c r="J130" s="26"/>
      <x:c r="K130" s="27" t="str">
        <x:f>IF(COUNTA(D130:I130)=0,"",SUM(D130:I130))</x:f>
      </x:c>
    </x:row>
    <x:row r="131">
      <x:c r="A131" s="26" t="str">
        <x:f>IF(OR(B131="",C131=""),"",B131&amp;"|"&amp;C131)</x:f>
      </x:c>
      <x:c r="B131" s="26"/>
      <x:c r="C131" s="26"/>
      <x:c r="D131" s="26"/>
      <x:c r="E131" s="26"/>
      <x:c r="F131" s="26"/>
      <x:c r="G131" s="26"/>
      <x:c r="H131" s="26"/>
      <x:c r="I131" s="26"/>
      <x:c r="J131" s="26"/>
      <x:c r="K131" s="27" t="str">
        <x:f>IF(COUNTA(D131:I131)=0,"",SUM(D131:I131))</x:f>
      </x:c>
    </x:row>
    <x:row r="132">
      <x:c r="A132" s="26" t="str">
        <x:f>IF(OR(B132="",C132=""),"",B132&amp;"|"&amp;C132)</x:f>
      </x:c>
      <x:c r="B132" s="26"/>
      <x:c r="C132" s="26"/>
      <x:c r="D132" s="26"/>
      <x:c r="E132" s="26"/>
      <x:c r="F132" s="26"/>
      <x:c r="G132" s="26"/>
      <x:c r="H132" s="26"/>
      <x:c r="I132" s="26"/>
      <x:c r="J132" s="26"/>
      <x:c r="K132" s="27" t="str">
        <x:f>IF(COUNTA(D132:I132)=0,"",SUM(D132:I132))</x:f>
      </x:c>
    </x:row>
    <x:row r="133">
      <x:c r="A133" s="26" t="str">
        <x:f>IF(OR(B133="",C133=""),"",B133&amp;"|"&amp;C133)</x:f>
      </x:c>
      <x:c r="B133" s="26"/>
      <x:c r="C133" s="26"/>
      <x:c r="D133" s="26"/>
      <x:c r="E133" s="26"/>
      <x:c r="F133" s="26"/>
      <x:c r="G133" s="26"/>
      <x:c r="H133" s="26"/>
      <x:c r="I133" s="26"/>
      <x:c r="J133" s="26"/>
      <x:c r="K133" s="27" t="str">
        <x:f>IF(COUNTA(D133:I133)=0,"",SUM(D133:I133))</x:f>
      </x:c>
    </x:row>
    <x:row r="134">
      <x:c r="A134" s="26" t="str">
        <x:f>IF(OR(B134="",C134=""),"",B134&amp;"|"&amp;C134)</x:f>
      </x:c>
      <x:c r="B134" s="26"/>
      <x:c r="C134" s="26"/>
      <x:c r="D134" s="26"/>
      <x:c r="E134" s="26"/>
      <x:c r="F134" s="26"/>
      <x:c r="G134" s="26"/>
      <x:c r="H134" s="26"/>
      <x:c r="I134" s="26"/>
      <x:c r="J134" s="26"/>
      <x:c r="K134" s="27" t="str">
        <x:f>IF(COUNTA(D134:I134)=0,"",SUM(D134:I134))</x:f>
      </x:c>
    </x:row>
    <x:row r="135">
      <x:c r="A135" s="26" t="str">
        <x:f>IF(OR(B135="",C135=""),"",B135&amp;"|"&amp;C135)</x:f>
      </x:c>
      <x:c r="B135" s="26"/>
      <x:c r="C135" s="26"/>
      <x:c r="D135" s="26"/>
      <x:c r="E135" s="26"/>
      <x:c r="F135" s="26"/>
      <x:c r="G135" s="26"/>
      <x:c r="H135" s="26"/>
      <x:c r="I135" s="26"/>
      <x:c r="J135" s="26"/>
      <x:c r="K135" s="27" t="str">
        <x:f>IF(COUNTA(D135:I135)=0,"",SUM(D135:I135))</x:f>
      </x:c>
    </x:row>
    <x:row r="136">
      <x:c r="A136" s="26" t="str">
        <x:f>IF(OR(B136="",C136=""),"",B136&amp;"|"&amp;C136)</x:f>
      </x:c>
      <x:c r="B136" s="26"/>
      <x:c r="C136" s="26"/>
      <x:c r="D136" s="26"/>
      <x:c r="E136" s="26"/>
      <x:c r="F136" s="26"/>
      <x:c r="G136" s="26"/>
      <x:c r="H136" s="26"/>
      <x:c r="I136" s="26"/>
      <x:c r="J136" s="26"/>
      <x:c r="K136" s="27" t="str">
        <x:f>IF(COUNTA(D136:I136)=0,"",SUM(D136:I136))</x:f>
      </x:c>
    </x:row>
    <x:row r="137">
      <x:c r="A137" s="26" t="str">
        <x:f>IF(OR(B137="",C137=""),"",B137&amp;"|"&amp;C137)</x:f>
      </x:c>
      <x:c r="B137" s="26"/>
      <x:c r="C137" s="26"/>
      <x:c r="D137" s="26"/>
      <x:c r="E137" s="26"/>
      <x:c r="F137" s="26"/>
      <x:c r="G137" s="26"/>
      <x:c r="H137" s="26"/>
      <x:c r="I137" s="26"/>
      <x:c r="J137" s="26"/>
      <x:c r="K137" s="27" t="str">
        <x:f>IF(COUNTA(D137:I137)=0,"",SUM(D137:I137))</x:f>
      </x:c>
    </x:row>
    <x:row r="138">
      <x:c r="A138" s="26" t="str">
        <x:f>IF(OR(B138="",C138=""),"",B138&amp;"|"&amp;C138)</x:f>
      </x:c>
      <x:c r="B138" s="26"/>
      <x:c r="C138" s="26"/>
      <x:c r="D138" s="26"/>
      <x:c r="E138" s="26"/>
      <x:c r="F138" s="26"/>
      <x:c r="G138" s="26"/>
      <x:c r="H138" s="26"/>
      <x:c r="I138" s="26"/>
      <x:c r="J138" s="26"/>
      <x:c r="K138" s="27" t="str">
        <x:f>IF(COUNTA(D138:I138)=0,"",SUM(D138:I138))</x:f>
      </x:c>
    </x:row>
    <x:row r="139">
      <x:c r="A139" s="26" t="str">
        <x:f>IF(OR(B139="",C139=""),"",B139&amp;"|"&amp;C139)</x:f>
      </x:c>
      <x:c r="B139" s="26"/>
      <x:c r="C139" s="26"/>
      <x:c r="D139" s="26"/>
      <x:c r="E139" s="26"/>
      <x:c r="F139" s="26"/>
      <x:c r="G139" s="26"/>
      <x:c r="H139" s="26"/>
      <x:c r="I139" s="26"/>
      <x:c r="J139" s="26"/>
      <x:c r="K139" s="27" t="str">
        <x:f>IF(COUNTA(D139:I139)=0,"",SUM(D139:I139))</x:f>
      </x:c>
    </x:row>
    <x:row r="140">
      <x:c r="A140" s="26" t="str">
        <x:f>IF(OR(B140="",C140=""),"",B140&amp;"|"&amp;C140)</x:f>
      </x:c>
      <x:c r="B140" s="26"/>
      <x:c r="C140" s="26"/>
      <x:c r="D140" s="26"/>
      <x:c r="E140" s="26"/>
      <x:c r="F140" s="26"/>
      <x:c r="G140" s="26"/>
      <x:c r="H140" s="26"/>
      <x:c r="I140" s="26"/>
      <x:c r="J140" s="26"/>
      <x:c r="K140" s="27" t="str">
        <x:f>IF(COUNTA(D140:I140)=0,"",SUM(D140:I140))</x:f>
      </x:c>
    </x:row>
    <x:row r="141">
      <x:c r="A141" s="26" t="str">
        <x:f>IF(OR(B141="",C141=""),"",B141&amp;"|"&amp;C141)</x:f>
      </x:c>
      <x:c r="B141" s="26"/>
      <x:c r="C141" s="26"/>
      <x:c r="D141" s="26"/>
      <x:c r="E141" s="26"/>
      <x:c r="F141" s="26"/>
      <x:c r="G141" s="26"/>
      <x:c r="H141" s="26"/>
      <x:c r="I141" s="26"/>
      <x:c r="J141" s="26"/>
      <x:c r="K141" s="27" t="str">
        <x:f>IF(COUNTA(D141:I141)=0,"",SUM(D141:I141))</x:f>
      </x:c>
    </x:row>
    <x:row r="142">
      <x:c r="A142" s="26" t="str">
        <x:f>IF(OR(B142="",C142=""),"",B142&amp;"|"&amp;C142)</x:f>
      </x:c>
      <x:c r="B142" s="26"/>
      <x:c r="C142" s="26"/>
      <x:c r="D142" s="26"/>
      <x:c r="E142" s="26"/>
      <x:c r="F142" s="26"/>
      <x:c r="G142" s="26"/>
      <x:c r="H142" s="26"/>
      <x:c r="I142" s="26"/>
      <x:c r="J142" s="26"/>
      <x:c r="K142" s="27" t="str">
        <x:f>IF(COUNTA(D142:I142)=0,"",SUM(D142:I142))</x:f>
      </x:c>
    </x:row>
    <x:row r="143">
      <x:c r="A143" s="26" t="str">
        <x:f>IF(OR(B143="",C143=""),"",B143&amp;"|"&amp;C143)</x:f>
      </x:c>
      <x:c r="B143" s="26"/>
      <x:c r="C143" s="26"/>
      <x:c r="D143" s="26"/>
      <x:c r="E143" s="26"/>
      <x:c r="F143" s="26"/>
      <x:c r="G143" s="26"/>
      <x:c r="H143" s="26"/>
      <x:c r="I143" s="26"/>
      <x:c r="J143" s="26"/>
      <x:c r="K143" s="27" t="str">
        <x:f>IF(COUNTA(D143:I143)=0,"",SUM(D143:I143))</x:f>
      </x:c>
    </x:row>
    <x:row r="144">
      <x:c r="A144" s="26" t="str">
        <x:f>IF(OR(B144="",C144=""),"",B144&amp;"|"&amp;C144)</x:f>
      </x:c>
      <x:c r="B144" s="26"/>
      <x:c r="C144" s="26"/>
      <x:c r="D144" s="26"/>
      <x:c r="E144" s="26"/>
      <x:c r="F144" s="26"/>
      <x:c r="G144" s="26"/>
      <x:c r="H144" s="26"/>
      <x:c r="I144" s="26"/>
      <x:c r="J144" s="26"/>
      <x:c r="K144" s="27" t="str">
        <x:f>IF(COUNTA(D144:I144)=0,"",SUM(D144:I144))</x:f>
      </x:c>
    </x:row>
    <x:row r="145">
      <x:c r="A145" s="26" t="str">
        <x:f>IF(OR(B145="",C145=""),"",B145&amp;"|"&amp;C145)</x:f>
      </x:c>
      <x:c r="B145" s="26"/>
      <x:c r="C145" s="26"/>
      <x:c r="D145" s="26"/>
      <x:c r="E145" s="26"/>
      <x:c r="F145" s="26"/>
      <x:c r="G145" s="26"/>
      <x:c r="H145" s="26"/>
      <x:c r="I145" s="26"/>
      <x:c r="J145" s="26"/>
      <x:c r="K145" s="27" t="str">
        <x:f>IF(COUNTA(D145:I145)=0,"",SUM(D145:I145))</x:f>
      </x:c>
    </x:row>
    <x:row r="146">
      <x:c r="A146" s="26" t="str">
        <x:f>IF(OR(B146="",C146=""),"",B146&amp;"|"&amp;C146)</x:f>
      </x:c>
      <x:c r="B146" s="26"/>
      <x:c r="C146" s="26"/>
      <x:c r="D146" s="26"/>
      <x:c r="E146" s="26"/>
      <x:c r="F146" s="26"/>
      <x:c r="G146" s="26"/>
      <x:c r="H146" s="26"/>
      <x:c r="I146" s="26"/>
      <x:c r="J146" s="26"/>
      <x:c r="K146" s="27" t="str">
        <x:f>IF(COUNTA(D146:I146)=0,"",SUM(D146:I146))</x:f>
      </x:c>
    </x:row>
    <x:row r="147">
      <x:c r="A147" s="26" t="str">
        <x:f>IF(OR(B147="",C147=""),"",B147&amp;"|"&amp;C147)</x:f>
      </x:c>
      <x:c r="B147" s="26"/>
      <x:c r="C147" s="26"/>
      <x:c r="D147" s="26"/>
      <x:c r="E147" s="26"/>
      <x:c r="F147" s="26"/>
      <x:c r="G147" s="26"/>
      <x:c r="H147" s="26"/>
      <x:c r="I147" s="26"/>
      <x:c r="J147" s="26"/>
      <x:c r="K147" s="27" t="str">
        <x:f>IF(COUNTA(D147:I147)=0,"",SUM(D147:I147))</x:f>
      </x:c>
    </x:row>
    <x:row r="148">
      <x:c r="A148" s="26" t="str">
        <x:f>IF(OR(B148="",C148=""),"",B148&amp;"|"&amp;C148)</x:f>
      </x:c>
      <x:c r="B148" s="26"/>
      <x:c r="C148" s="26"/>
      <x:c r="D148" s="26"/>
      <x:c r="E148" s="26"/>
      <x:c r="F148" s="26"/>
      <x:c r="G148" s="26"/>
      <x:c r="H148" s="26"/>
      <x:c r="I148" s="26"/>
      <x:c r="J148" s="26"/>
      <x:c r="K148" s="27" t="str">
        <x:f>IF(COUNTA(D148:I148)=0,"",SUM(D148:I148))</x:f>
      </x:c>
    </x:row>
    <x:row r="149">
      <x:c r="A149" s="26" t="str">
        <x:f>IF(OR(B149="",C149=""),"",B149&amp;"|"&amp;C149)</x:f>
      </x:c>
      <x:c r="B149" s="26"/>
      <x:c r="C149" s="26"/>
      <x:c r="D149" s="26"/>
      <x:c r="E149" s="26"/>
      <x:c r="F149" s="26"/>
      <x:c r="G149" s="26"/>
      <x:c r="H149" s="26"/>
      <x:c r="I149" s="26"/>
      <x:c r="J149" s="26"/>
      <x:c r="K149" s="27" t="str">
        <x:f>IF(COUNTA(D149:I149)=0,"",SUM(D149:I149))</x:f>
      </x:c>
    </x:row>
    <x:row r="150">
      <x:c r="A150" s="26" t="str">
        <x:f>IF(OR(B150="",C150=""),"",B150&amp;"|"&amp;C150)</x:f>
      </x:c>
      <x:c r="B150" s="26"/>
      <x:c r="C150" s="26"/>
      <x:c r="D150" s="26"/>
      <x:c r="E150" s="26"/>
      <x:c r="F150" s="26"/>
      <x:c r="G150" s="26"/>
      <x:c r="H150" s="26"/>
      <x:c r="I150" s="26"/>
      <x:c r="J150" s="26"/>
      <x:c r="K150" s="27" t="str">
        <x:f>IF(COUNTA(D150:I150)=0,"",SUM(D150:I150))</x:f>
      </x:c>
    </x:row>
    <x:row r="151">
      <x:c r="A151" s="26" t="str">
        <x:f>IF(OR(B151="",C151=""),"",B151&amp;"|"&amp;C151)</x:f>
      </x:c>
      <x:c r="B151" s="26"/>
      <x:c r="C151" s="26"/>
      <x:c r="D151" s="26"/>
      <x:c r="E151" s="26"/>
      <x:c r="F151" s="26"/>
      <x:c r="G151" s="26"/>
      <x:c r="H151" s="26"/>
      <x:c r="I151" s="26"/>
      <x:c r="J151" s="26"/>
      <x:c r="K151" s="27" t="str">
        <x:f>IF(COUNTA(D151:I151)=0,"",SUM(D151:I151))</x:f>
      </x:c>
    </x:row>
    <x:row r="152">
      <x:c r="A152" s="26" t="str">
        <x:f>IF(OR(B152="",C152=""),"",B152&amp;"|"&amp;C152)</x:f>
      </x:c>
      <x:c r="B152" s="26"/>
      <x:c r="C152" s="26"/>
      <x:c r="D152" s="26"/>
      <x:c r="E152" s="26"/>
      <x:c r="F152" s="26"/>
      <x:c r="G152" s="26"/>
      <x:c r="H152" s="26"/>
      <x:c r="I152" s="26"/>
      <x:c r="J152" s="26"/>
      <x:c r="K152" s="27" t="str">
        <x:f>IF(COUNTA(D152:I152)=0,"",SUM(D152:I152))</x:f>
      </x:c>
    </x:row>
    <x:row r="153">
      <x:c r="A153" s="26" t="str">
        <x:f>IF(OR(B153="",C153=""),"",B153&amp;"|"&amp;C153)</x:f>
      </x:c>
      <x:c r="B153" s="26"/>
      <x:c r="C153" s="26"/>
      <x:c r="D153" s="26"/>
      <x:c r="E153" s="26"/>
      <x:c r="F153" s="26"/>
      <x:c r="G153" s="26"/>
      <x:c r="H153" s="26"/>
      <x:c r="I153" s="26"/>
      <x:c r="J153" s="26"/>
      <x:c r="K153" s="27" t="str">
        <x:f>IF(COUNTA(D153:I153)=0,"",SUM(D153:I153))</x:f>
      </x:c>
    </x:row>
    <x:row r="154">
      <x:c r="A154" s="26" t="str">
        <x:f>IF(OR(B154="",C154=""),"",B154&amp;"|"&amp;C154)</x:f>
      </x:c>
      <x:c r="B154" s="26"/>
      <x:c r="C154" s="26"/>
      <x:c r="D154" s="26"/>
      <x:c r="E154" s="26"/>
      <x:c r="F154" s="26"/>
      <x:c r="G154" s="26"/>
      <x:c r="H154" s="26"/>
      <x:c r="I154" s="26"/>
      <x:c r="J154" s="26"/>
      <x:c r="K154" s="27" t="str">
        <x:f>IF(COUNTA(D154:I154)=0,"",SUM(D154:I154))</x:f>
      </x:c>
    </x:row>
    <x:row r="155">
      <x:c r="A155" s="26" t="str">
        <x:f>IF(OR(B155="",C155=""),"",B155&amp;"|"&amp;C155)</x:f>
      </x:c>
      <x:c r="B155" s="26"/>
      <x:c r="C155" s="26"/>
      <x:c r="D155" s="26"/>
      <x:c r="E155" s="26"/>
      <x:c r="F155" s="26"/>
      <x:c r="G155" s="26"/>
      <x:c r="H155" s="26"/>
      <x:c r="I155" s="26"/>
      <x:c r="J155" s="26"/>
      <x:c r="K155" s="27" t="str">
        <x:f>IF(COUNTA(D155:I155)=0,"",SUM(D155:I155))</x:f>
      </x:c>
    </x:row>
    <x:row r="156">
      <x:c r="A156" s="26" t="str">
        <x:f>IF(OR(B156="",C156=""),"",B156&amp;"|"&amp;C156)</x:f>
      </x:c>
      <x:c r="B156" s="26"/>
      <x:c r="C156" s="26"/>
      <x:c r="D156" s="26"/>
      <x:c r="E156" s="26"/>
      <x:c r="F156" s="26"/>
      <x:c r="G156" s="26"/>
      <x:c r="H156" s="26"/>
      <x:c r="I156" s="26"/>
      <x:c r="J156" s="26"/>
      <x:c r="K156" s="27" t="str">
        <x:f>IF(COUNTA(D156:I156)=0,"",SUM(D156:I156))</x:f>
      </x:c>
    </x:row>
    <x:row r="157">
      <x:c r="A157" s="26" t="str">
        <x:f>IF(OR(B157="",C157=""),"",B157&amp;"|"&amp;C157)</x:f>
      </x:c>
      <x:c r="B157" s="26"/>
      <x:c r="C157" s="26"/>
      <x:c r="D157" s="26"/>
      <x:c r="E157" s="26"/>
      <x:c r="F157" s="26"/>
      <x:c r="G157" s="26"/>
      <x:c r="H157" s="26"/>
      <x:c r="I157" s="26"/>
      <x:c r="J157" s="26"/>
      <x:c r="K157" s="27" t="str">
        <x:f>IF(COUNTA(D157:I157)=0,"",SUM(D157:I157))</x:f>
      </x:c>
    </x:row>
    <x:row r="158">
      <x:c r="A158" s="26" t="str">
        <x:f>IF(OR(B158="",C158=""),"",B158&amp;"|"&amp;C158)</x:f>
      </x:c>
      <x:c r="B158" s="26"/>
      <x:c r="C158" s="26"/>
      <x:c r="D158" s="26"/>
      <x:c r="E158" s="26"/>
      <x:c r="F158" s="26"/>
      <x:c r="G158" s="26"/>
      <x:c r="H158" s="26"/>
      <x:c r="I158" s="26"/>
      <x:c r="J158" s="26"/>
      <x:c r="K158" s="27" t="str">
        <x:f>IF(COUNTA(D158:I158)=0,"",SUM(D158:I158))</x:f>
      </x:c>
    </x:row>
    <x:row r="159">
      <x:c r="A159" s="26" t="str">
        <x:f>IF(OR(B159="",C159=""),"",B159&amp;"|"&amp;C159)</x:f>
      </x:c>
      <x:c r="B159" s="26"/>
      <x:c r="C159" s="26"/>
      <x:c r="D159" s="26"/>
      <x:c r="E159" s="26"/>
      <x:c r="F159" s="26"/>
      <x:c r="G159" s="26"/>
      <x:c r="H159" s="26"/>
      <x:c r="I159" s="26"/>
      <x:c r="J159" s="26"/>
      <x:c r="K159" s="27" t="str">
        <x:f>IF(COUNTA(D159:I159)=0,"",SUM(D159:I159))</x:f>
      </x:c>
    </x:row>
    <x:row r="160">
      <x:c r="A160" s="26" t="str">
        <x:f>IF(OR(B160="",C160=""),"",B160&amp;"|"&amp;C160)</x:f>
      </x:c>
      <x:c r="B160" s="26"/>
      <x:c r="C160" s="26"/>
      <x:c r="D160" s="26"/>
      <x:c r="E160" s="26"/>
      <x:c r="F160" s="26"/>
      <x:c r="G160" s="26"/>
      <x:c r="H160" s="26"/>
      <x:c r="I160" s="26"/>
      <x:c r="J160" s="26"/>
      <x:c r="K160" s="27" t="str">
        <x:f>IF(COUNTA(D160:I160)=0,"",SUM(D160:I160))</x:f>
      </x:c>
    </x:row>
    <x:row r="161">
      <x:c r="A161" s="26" t="str">
        <x:f>IF(OR(B161="",C161=""),"",B161&amp;"|"&amp;C161)</x:f>
      </x:c>
      <x:c r="B161" s="26"/>
      <x:c r="C161" s="26"/>
      <x:c r="D161" s="26"/>
      <x:c r="E161" s="26"/>
      <x:c r="F161" s="26"/>
      <x:c r="G161" s="26"/>
      <x:c r="H161" s="26"/>
      <x:c r="I161" s="26"/>
      <x:c r="J161" s="26"/>
      <x:c r="K161" s="27" t="str">
        <x:f>IF(COUNTA(D161:I161)=0,"",SUM(D161:I161))</x:f>
      </x:c>
    </x:row>
    <x:row r="162">
      <x:c r="A162" s="26" t="str">
        <x:f>IF(OR(B162="",C162=""),"",B162&amp;"|"&amp;C162)</x:f>
      </x:c>
      <x:c r="B162" s="26"/>
      <x:c r="C162" s="26"/>
      <x:c r="D162" s="26"/>
      <x:c r="E162" s="26"/>
      <x:c r="F162" s="26"/>
      <x:c r="G162" s="26"/>
      <x:c r="H162" s="26"/>
      <x:c r="I162" s="26"/>
      <x:c r="J162" s="26"/>
      <x:c r="K162" s="27" t="str">
        <x:f>IF(COUNTA(D162:I162)=0,"",SUM(D162:I162))</x:f>
      </x:c>
    </x:row>
    <x:row r="163">
      <x:c r="A163" s="26" t="str">
        <x:f>IF(OR(B163="",C163=""),"",B163&amp;"|"&amp;C163)</x:f>
      </x:c>
      <x:c r="B163" s="26"/>
      <x:c r="C163" s="26"/>
      <x:c r="D163" s="26"/>
      <x:c r="E163" s="26"/>
      <x:c r="F163" s="26"/>
      <x:c r="G163" s="26"/>
      <x:c r="H163" s="26"/>
      <x:c r="I163" s="26"/>
      <x:c r="J163" s="26"/>
      <x:c r="K163" s="27" t="str">
        <x:f>IF(COUNTA(D163:I163)=0,"",SUM(D163:I163))</x:f>
      </x:c>
    </x:row>
    <x:row r="164">
      <x:c r="A164" s="26" t="str">
        <x:f>IF(OR(B164="",C164=""),"",B164&amp;"|"&amp;C164)</x:f>
      </x:c>
      <x:c r="B164" s="26"/>
      <x:c r="C164" s="26"/>
      <x:c r="D164" s="26"/>
      <x:c r="E164" s="26"/>
      <x:c r="F164" s="26"/>
      <x:c r="G164" s="26"/>
      <x:c r="H164" s="26"/>
      <x:c r="I164" s="26"/>
      <x:c r="J164" s="26"/>
      <x:c r="K164" s="27" t="str">
        <x:f>IF(COUNTA(D164:I164)=0,"",SUM(D164:I164))</x:f>
      </x:c>
    </x:row>
    <x:row r="165">
      <x:c r="A165" s="26" t="str">
        <x:f>IF(OR(B165="",C165=""),"",B165&amp;"|"&amp;C165)</x:f>
      </x:c>
      <x:c r="B165" s="26"/>
      <x:c r="C165" s="26"/>
      <x:c r="D165" s="26"/>
      <x:c r="E165" s="26"/>
      <x:c r="F165" s="26"/>
      <x:c r="G165" s="26"/>
      <x:c r="H165" s="26"/>
      <x:c r="I165" s="26"/>
      <x:c r="J165" s="26"/>
      <x:c r="K165" s="27" t="str">
        <x:f>IF(COUNTA(D165:I165)=0,"",SUM(D165:I165))</x:f>
      </x:c>
    </x:row>
    <x:row r="166">
      <x:c r="A166" s="26" t="str">
        <x:f>IF(OR(B166="",C166=""),"",B166&amp;"|"&amp;C166)</x:f>
      </x:c>
      <x:c r="B166" s="26"/>
      <x:c r="C166" s="26"/>
      <x:c r="D166" s="26"/>
      <x:c r="E166" s="26"/>
      <x:c r="F166" s="26"/>
      <x:c r="G166" s="26"/>
      <x:c r="H166" s="26"/>
      <x:c r="I166" s="26"/>
      <x:c r="J166" s="26"/>
      <x:c r="K166" s="27" t="str">
        <x:f>IF(COUNTA(D166:I166)=0,"",SUM(D166:I166))</x:f>
      </x:c>
    </x:row>
    <x:row r="167">
      <x:c r="A167" s="26" t="str">
        <x:f>IF(OR(B167="",C167=""),"",B167&amp;"|"&amp;C167)</x:f>
      </x:c>
      <x:c r="B167" s="26"/>
      <x:c r="C167" s="26"/>
      <x:c r="D167" s="26"/>
      <x:c r="E167" s="26"/>
      <x:c r="F167" s="26"/>
      <x:c r="G167" s="26"/>
      <x:c r="H167" s="26"/>
      <x:c r="I167" s="26"/>
      <x:c r="J167" s="26"/>
      <x:c r="K167" s="27" t="str">
        <x:f>IF(COUNTA(D167:I167)=0,"",SUM(D167:I167))</x:f>
      </x:c>
    </x:row>
    <x:row r="168">
      <x:c r="A168" s="26" t="str">
        <x:f>IF(OR(B168="",C168=""),"",B168&amp;"|"&amp;C168)</x:f>
      </x:c>
      <x:c r="B168" s="26"/>
      <x:c r="C168" s="26"/>
      <x:c r="D168" s="26"/>
      <x:c r="E168" s="26"/>
      <x:c r="F168" s="26"/>
      <x:c r="G168" s="26"/>
      <x:c r="H168" s="26"/>
      <x:c r="I168" s="26"/>
      <x:c r="J168" s="26"/>
      <x:c r="K168" s="27" t="str">
        <x:f>IF(COUNTA(D168:I168)=0,"",SUM(D168:I168))</x:f>
      </x:c>
    </x:row>
    <x:row r="169">
      <x:c r="A169" s="26" t="str">
        <x:f>IF(OR(B169="",C169=""),"",B169&amp;"|"&amp;C169)</x:f>
      </x:c>
      <x:c r="B169" s="26"/>
      <x:c r="C169" s="26"/>
      <x:c r="D169" s="26"/>
      <x:c r="E169" s="26"/>
      <x:c r="F169" s="26"/>
      <x:c r="G169" s="26"/>
      <x:c r="H169" s="26"/>
      <x:c r="I169" s="26"/>
      <x:c r="J169" s="26"/>
      <x:c r="K169" s="27" t="str">
        <x:f>IF(COUNTA(D169:I169)=0,"",SUM(D169:I169))</x:f>
      </x:c>
    </x:row>
    <x:row r="170">
      <x:c r="A170" s="26" t="str">
        <x:f>IF(OR(B170="",C170=""),"",B170&amp;"|"&amp;C170)</x:f>
      </x:c>
      <x:c r="B170" s="26"/>
      <x:c r="C170" s="26"/>
      <x:c r="D170" s="26"/>
      <x:c r="E170" s="26"/>
      <x:c r="F170" s="26"/>
      <x:c r="G170" s="26"/>
      <x:c r="H170" s="26"/>
      <x:c r="I170" s="26"/>
      <x:c r="J170" s="26"/>
      <x:c r="K170" s="27" t="str">
        <x:f>IF(COUNTA(D170:I170)=0,"",SUM(D170:I170))</x:f>
      </x:c>
    </x:row>
    <x:row r="171">
      <x:c r="A171" s="26" t="str">
        <x:f>IF(OR(B171="",C171=""),"",B171&amp;"|"&amp;C171)</x:f>
      </x:c>
      <x:c r="B171" s="26"/>
      <x:c r="C171" s="26"/>
      <x:c r="D171" s="26"/>
      <x:c r="E171" s="26"/>
      <x:c r="F171" s="26"/>
      <x:c r="G171" s="26"/>
      <x:c r="H171" s="26"/>
      <x:c r="I171" s="26"/>
      <x:c r="J171" s="26"/>
      <x:c r="K171" s="27" t="str">
        <x:f>IF(COUNTA(D171:I171)=0,"",SUM(D171:I171))</x:f>
      </x:c>
    </x:row>
    <x:row r="172">
      <x:c r="A172" s="26" t="str">
        <x:f>IF(OR(B172="",C172=""),"",B172&amp;"|"&amp;C172)</x:f>
      </x:c>
      <x:c r="B172" s="26"/>
      <x:c r="C172" s="26"/>
      <x:c r="D172" s="26"/>
      <x:c r="E172" s="26"/>
      <x:c r="F172" s="26"/>
      <x:c r="G172" s="26"/>
      <x:c r="H172" s="26"/>
      <x:c r="I172" s="26"/>
      <x:c r="J172" s="26"/>
      <x:c r="K172" s="27" t="str">
        <x:f>IF(COUNTA(D172:I172)=0,"",SUM(D172:I172))</x:f>
      </x:c>
    </x:row>
    <x:row r="173">
      <x:c r="A173" s="26" t="str">
        <x:f>IF(OR(B173="",C173=""),"",B173&amp;"|"&amp;C173)</x:f>
      </x:c>
      <x:c r="B173" s="26"/>
      <x:c r="C173" s="26"/>
      <x:c r="D173" s="26"/>
      <x:c r="E173" s="26"/>
      <x:c r="F173" s="26"/>
      <x:c r="G173" s="26"/>
      <x:c r="H173" s="26"/>
      <x:c r="I173" s="26"/>
      <x:c r="J173" s="26"/>
      <x:c r="K173" s="27" t="str">
        <x:f>IF(COUNTA(D173:I173)=0,"",SUM(D173:I173))</x:f>
      </x:c>
    </x:row>
    <x:row r="174">
      <x:c r="A174" s="26" t="str">
        <x:f>IF(OR(B174="",C174=""),"",B174&amp;"|"&amp;C174)</x:f>
      </x:c>
      <x:c r="B174" s="26"/>
      <x:c r="C174" s="26"/>
      <x:c r="D174" s="26"/>
      <x:c r="E174" s="26"/>
      <x:c r="F174" s="26"/>
      <x:c r="G174" s="26"/>
      <x:c r="H174" s="26"/>
      <x:c r="I174" s="26"/>
      <x:c r="J174" s="26"/>
      <x:c r="K174" s="27" t="str">
        <x:f>IF(COUNTA(D174:I174)=0,"",SUM(D174:I174))</x:f>
      </x:c>
    </x:row>
    <x:row r="175">
      <x:c r="A175" s="26" t="str">
        <x:f>IF(OR(B175="",C175=""),"",B175&amp;"|"&amp;C175)</x:f>
      </x:c>
      <x:c r="B175" s="26"/>
      <x:c r="C175" s="26"/>
      <x:c r="D175" s="26"/>
      <x:c r="E175" s="26"/>
      <x:c r="F175" s="26"/>
      <x:c r="G175" s="26"/>
      <x:c r="H175" s="26"/>
      <x:c r="I175" s="26"/>
      <x:c r="J175" s="26"/>
      <x:c r="K175" s="27" t="str">
        <x:f>IF(COUNTA(D175:I175)=0,"",SUM(D175:I175))</x:f>
      </x:c>
    </x:row>
    <x:row r="176">
      <x:c r="A176" s="26" t="str">
        <x:f>IF(OR(B176="",C176=""),"",B176&amp;"|"&amp;C176)</x:f>
      </x:c>
      <x:c r="B176" s="26"/>
      <x:c r="C176" s="26"/>
      <x:c r="D176" s="26"/>
      <x:c r="E176" s="26"/>
      <x:c r="F176" s="26"/>
      <x:c r="G176" s="26"/>
      <x:c r="H176" s="26"/>
      <x:c r="I176" s="26"/>
      <x:c r="J176" s="26"/>
      <x:c r="K176" s="27" t="str">
        <x:f>IF(COUNTA(D176:I176)=0,"",SUM(D176:I176))</x:f>
      </x:c>
    </x:row>
    <x:row r="177">
      <x:c r="A177" s="26" t="str">
        <x:f>IF(OR(B177="",C177=""),"",B177&amp;"|"&amp;C177)</x:f>
      </x:c>
      <x:c r="B177" s="26"/>
      <x:c r="C177" s="26"/>
      <x:c r="D177" s="26"/>
      <x:c r="E177" s="26"/>
      <x:c r="F177" s="26"/>
      <x:c r="G177" s="26"/>
      <x:c r="H177" s="26"/>
      <x:c r="I177" s="26"/>
      <x:c r="J177" s="26"/>
      <x:c r="K177" s="27" t="str">
        <x:f>IF(COUNTA(D177:I177)=0,"",SUM(D177:I177))</x:f>
      </x:c>
    </x:row>
    <x:row r="178">
      <x:c r="A178" s="26" t="str">
        <x:f>IF(OR(B178="",C178=""),"",B178&amp;"|"&amp;C178)</x:f>
      </x:c>
      <x:c r="B178" s="26"/>
      <x:c r="C178" s="26"/>
      <x:c r="D178" s="26"/>
      <x:c r="E178" s="26"/>
      <x:c r="F178" s="26"/>
      <x:c r="G178" s="26"/>
      <x:c r="H178" s="26"/>
      <x:c r="I178" s="26"/>
      <x:c r="J178" s="26"/>
      <x:c r="K178" s="27" t="str">
        <x:f>IF(COUNTA(D178:I178)=0,"",SUM(D178:I178))</x:f>
      </x:c>
    </x:row>
    <x:row r="179">
      <x:c r="A179" s="26" t="str">
        <x:f>IF(OR(B179="",C179=""),"",B179&amp;"|"&amp;C179)</x:f>
      </x:c>
      <x:c r="B179" s="26"/>
      <x:c r="C179" s="26"/>
      <x:c r="D179" s="26"/>
      <x:c r="E179" s="26"/>
      <x:c r="F179" s="26"/>
      <x:c r="G179" s="26"/>
      <x:c r="H179" s="26"/>
      <x:c r="I179" s="26"/>
      <x:c r="J179" s="26"/>
      <x:c r="K179" s="27" t="str">
        <x:f>IF(COUNTA(D179:I179)=0,"",SUM(D179:I179))</x:f>
      </x:c>
    </x:row>
    <x:row r="180">
      <x:c r="A180" s="26" t="str">
        <x:f>IF(OR(B180="",C180=""),"",B180&amp;"|"&amp;C180)</x:f>
      </x:c>
      <x:c r="B180" s="26"/>
      <x:c r="C180" s="26"/>
      <x:c r="D180" s="26"/>
      <x:c r="E180" s="26"/>
      <x:c r="F180" s="26"/>
      <x:c r="G180" s="26"/>
      <x:c r="H180" s="26"/>
      <x:c r="I180" s="26"/>
      <x:c r="J180" s="26"/>
      <x:c r="K180" s="27" t="str">
        <x:f>IF(COUNTA(D180:I180)=0,"",SUM(D180:I180))</x:f>
      </x:c>
    </x:row>
    <x:row r="181">
      <x:c r="A181" s="26" t="str">
        <x:f>IF(OR(B181="",C181=""),"",B181&amp;"|"&amp;C181)</x:f>
      </x:c>
      <x:c r="B181" s="26"/>
      <x:c r="C181" s="26"/>
      <x:c r="D181" s="26"/>
      <x:c r="E181" s="26"/>
      <x:c r="F181" s="26"/>
      <x:c r="G181" s="26"/>
      <x:c r="H181" s="26"/>
      <x:c r="I181" s="26"/>
      <x:c r="J181" s="26"/>
      <x:c r="K181" s="27" t="str">
        <x:f>IF(COUNTA(D181:I181)=0,"",SUM(D181:I181))</x:f>
      </x:c>
    </x:row>
    <x:row r="182">
      <x:c r="A182" s="26" t="str">
        <x:f>IF(OR(B182="",C182=""),"",B182&amp;"|"&amp;C182)</x:f>
      </x:c>
      <x:c r="B182" s="26"/>
      <x:c r="C182" s="26"/>
      <x:c r="D182" s="26"/>
      <x:c r="E182" s="26"/>
      <x:c r="F182" s="26"/>
      <x:c r="G182" s="26"/>
      <x:c r="H182" s="26"/>
      <x:c r="I182" s="26"/>
      <x:c r="J182" s="26"/>
      <x:c r="K182" s="27" t="str">
        <x:f>IF(COUNTA(D182:I182)=0,"",SUM(D182:I182))</x:f>
      </x:c>
    </x:row>
    <x:row r="183">
      <x:c r="A183" s="26" t="str">
        <x:f>IF(OR(B183="",C183=""),"",B183&amp;"|"&amp;C183)</x:f>
      </x:c>
      <x:c r="B183" s="26"/>
      <x:c r="C183" s="26"/>
      <x:c r="D183" s="26"/>
      <x:c r="E183" s="26"/>
      <x:c r="F183" s="26"/>
      <x:c r="G183" s="26"/>
      <x:c r="H183" s="26"/>
      <x:c r="I183" s="26"/>
      <x:c r="J183" s="26"/>
      <x:c r="K183" s="27" t="str">
        <x:f>IF(COUNTA(D183:I183)=0,"",SUM(D183:I183))</x:f>
      </x:c>
    </x:row>
    <x:row r="184">
      <x:c r="A184" s="26" t="str">
        <x:f>IF(OR(B184="",C184=""),"",B184&amp;"|"&amp;C184)</x:f>
      </x:c>
      <x:c r="B184" s="26"/>
      <x:c r="C184" s="26"/>
      <x:c r="D184" s="26"/>
      <x:c r="E184" s="26"/>
      <x:c r="F184" s="26"/>
      <x:c r="G184" s="26"/>
      <x:c r="H184" s="26"/>
      <x:c r="I184" s="26"/>
      <x:c r="J184" s="26"/>
      <x:c r="K184" s="27" t="str">
        <x:f>IF(COUNTA(D184:I184)=0,"",SUM(D184:I184))</x:f>
      </x:c>
    </x:row>
    <x:row r="185">
      <x:c r="A185" s="26" t="str">
        <x:f>IF(OR(B185="",C185=""),"",B185&amp;"|"&amp;C185)</x:f>
      </x:c>
      <x:c r="B185" s="26"/>
      <x:c r="C185" s="26"/>
      <x:c r="D185" s="26"/>
      <x:c r="E185" s="26"/>
      <x:c r="F185" s="26"/>
      <x:c r="G185" s="26"/>
      <x:c r="H185" s="26"/>
      <x:c r="I185" s="26"/>
      <x:c r="J185" s="26"/>
      <x:c r="K185" s="27" t="str">
        <x:f>IF(COUNTA(D185:I185)=0,"",SUM(D185:I185))</x:f>
      </x:c>
    </x:row>
    <x:row r="186">
      <x:c r="A186" s="26" t="str">
        <x:f>IF(OR(B186="",C186=""),"",B186&amp;"|"&amp;C186)</x:f>
      </x:c>
      <x:c r="B186" s="26"/>
      <x:c r="C186" s="26"/>
      <x:c r="D186" s="26"/>
      <x:c r="E186" s="26"/>
      <x:c r="F186" s="26"/>
      <x:c r="G186" s="26"/>
      <x:c r="H186" s="26"/>
      <x:c r="I186" s="26"/>
      <x:c r="J186" s="26"/>
      <x:c r="K186" s="27" t="str">
        <x:f>IF(COUNTA(D186:I186)=0,"",SUM(D186:I186))</x:f>
      </x:c>
    </x:row>
    <x:row r="187">
      <x:c r="A187" s="26" t="str">
        <x:f>IF(OR(B187="",C187=""),"",B187&amp;"|"&amp;C187)</x:f>
      </x:c>
      <x:c r="B187" s="26"/>
      <x:c r="C187" s="26"/>
      <x:c r="D187" s="26"/>
      <x:c r="E187" s="26"/>
      <x:c r="F187" s="26"/>
      <x:c r="G187" s="26"/>
      <x:c r="H187" s="26"/>
      <x:c r="I187" s="26"/>
      <x:c r="J187" s="26"/>
      <x:c r="K187" s="27" t="str">
        <x:f>IF(COUNTA(D187:I187)=0,"",SUM(D187:I187))</x:f>
      </x:c>
    </x:row>
    <x:row r="188">
      <x:c r="A188" s="26" t="str">
        <x:f>IF(OR(B188="",C188=""),"",B188&amp;"|"&amp;C188)</x:f>
      </x:c>
      <x:c r="B188" s="26"/>
      <x:c r="C188" s="26"/>
      <x:c r="D188" s="26"/>
      <x:c r="E188" s="26"/>
      <x:c r="F188" s="26"/>
      <x:c r="G188" s="26"/>
      <x:c r="H188" s="26"/>
      <x:c r="I188" s="26"/>
      <x:c r="J188" s="26"/>
      <x:c r="K188" s="27" t="str">
        <x:f>IF(COUNTA(D188:I188)=0,"",SUM(D188:I188))</x:f>
      </x:c>
    </x:row>
    <x:row r="189">
      <x:c r="A189" s="26" t="str">
        <x:f>IF(OR(B189="",C189=""),"",B189&amp;"|"&amp;C189)</x:f>
      </x:c>
      <x:c r="B189" s="26"/>
      <x:c r="C189" s="26"/>
      <x:c r="D189" s="26"/>
      <x:c r="E189" s="26"/>
      <x:c r="F189" s="26"/>
      <x:c r="G189" s="26"/>
      <x:c r="H189" s="26"/>
      <x:c r="I189" s="26"/>
      <x:c r="J189" s="26"/>
      <x:c r="K189" s="27" t="str">
        <x:f>IF(COUNTA(D189:I189)=0,"",SUM(D189:I189))</x:f>
      </x:c>
    </x:row>
    <x:row r="190">
      <x:c r="A190" s="26" t="str">
        <x:f>IF(OR(B190="",C190=""),"",B190&amp;"|"&amp;C190)</x:f>
      </x:c>
      <x:c r="B190" s="26"/>
      <x:c r="C190" s="26"/>
      <x:c r="D190" s="26"/>
      <x:c r="E190" s="26"/>
      <x:c r="F190" s="26"/>
      <x:c r="G190" s="26"/>
      <x:c r="H190" s="26"/>
      <x:c r="I190" s="26"/>
      <x:c r="J190" s="26"/>
      <x:c r="K190" s="27" t="str">
        <x:f>IF(COUNTA(D190:I190)=0,"",SUM(D190:I190))</x:f>
      </x:c>
    </x:row>
    <x:row r="191">
      <x:c r="A191" s="26" t="str">
        <x:f>IF(OR(B191="",C191=""),"",B191&amp;"|"&amp;C191)</x:f>
      </x:c>
      <x:c r="B191" s="26"/>
      <x:c r="C191" s="26"/>
      <x:c r="D191" s="26"/>
      <x:c r="E191" s="26"/>
      <x:c r="F191" s="26"/>
      <x:c r="G191" s="26"/>
      <x:c r="H191" s="26"/>
      <x:c r="I191" s="26"/>
      <x:c r="J191" s="26"/>
      <x:c r="K191" s="27" t="str">
        <x:f>IF(COUNTA(D191:I191)=0,"",SUM(D191:I191))</x:f>
      </x:c>
    </x:row>
    <x:row r="192">
      <x:c r="A192" s="26" t="str">
        <x:f>IF(OR(B192="",C192=""),"",B192&amp;"|"&amp;C192)</x:f>
      </x:c>
      <x:c r="B192" s="26"/>
      <x:c r="C192" s="26"/>
      <x:c r="D192" s="26"/>
      <x:c r="E192" s="26"/>
      <x:c r="F192" s="26"/>
      <x:c r="G192" s="26"/>
      <x:c r="H192" s="26"/>
      <x:c r="I192" s="26"/>
      <x:c r="J192" s="26"/>
      <x:c r="K192" s="27" t="str">
        <x:f>IF(COUNTA(D192:I192)=0,"",SUM(D192:I192))</x:f>
      </x:c>
    </x:row>
    <x:row r="193">
      <x:c r="A193" s="26" t="str">
        <x:f>IF(OR(B193="",C193=""),"",B193&amp;"|"&amp;C193)</x:f>
      </x:c>
      <x:c r="B193" s="26"/>
      <x:c r="C193" s="26"/>
      <x:c r="D193" s="26"/>
      <x:c r="E193" s="26"/>
      <x:c r="F193" s="26"/>
      <x:c r="G193" s="26"/>
      <x:c r="H193" s="26"/>
      <x:c r="I193" s="26"/>
      <x:c r="J193" s="26"/>
      <x:c r="K193" s="27" t="str">
        <x:f>IF(COUNTA(D193:I193)=0,"",SUM(D193:I193))</x:f>
      </x:c>
    </x:row>
    <x:row r="194">
      <x:c r="A194" s="26" t="str">
        <x:f>IF(OR(B194="",C194=""),"",B194&amp;"|"&amp;C194)</x:f>
      </x:c>
      <x:c r="B194" s="26"/>
      <x:c r="C194" s="26"/>
      <x:c r="D194" s="26"/>
      <x:c r="E194" s="26"/>
      <x:c r="F194" s="26"/>
      <x:c r="G194" s="26"/>
      <x:c r="H194" s="26"/>
      <x:c r="I194" s="26"/>
      <x:c r="J194" s="26"/>
      <x:c r="K194" s="27" t="str">
        <x:f>IF(COUNTA(D194:I194)=0,"",SUM(D194:I194))</x:f>
      </x:c>
    </x:row>
    <x:row r="195">
      <x:c r="A195" s="26" t="str">
        <x:f>IF(OR(B195="",C195=""),"",B195&amp;"|"&amp;C195)</x:f>
      </x:c>
      <x:c r="B195" s="26"/>
      <x:c r="C195" s="26"/>
      <x:c r="D195" s="26"/>
      <x:c r="E195" s="26"/>
      <x:c r="F195" s="26"/>
      <x:c r="G195" s="26"/>
      <x:c r="H195" s="26"/>
      <x:c r="I195" s="26"/>
      <x:c r="J195" s="26"/>
      <x:c r="K195" s="27" t="str">
        <x:f>IF(COUNTA(D195:I195)=0,"",SUM(D195:I195))</x:f>
      </x:c>
    </x:row>
    <x:row r="196">
      <x:c r="A196" s="26" t="str">
        <x:f>IF(OR(B196="",C196=""),"",B196&amp;"|"&amp;C196)</x:f>
      </x:c>
      <x:c r="B196" s="26"/>
      <x:c r="C196" s="26"/>
      <x:c r="D196" s="26"/>
      <x:c r="E196" s="26"/>
      <x:c r="F196" s="26"/>
      <x:c r="G196" s="26"/>
      <x:c r="H196" s="26"/>
      <x:c r="I196" s="26"/>
      <x:c r="J196" s="26"/>
      <x:c r="K196" s="27" t="str">
        <x:f>IF(COUNTA(D196:I196)=0,"",SUM(D196:I196))</x:f>
      </x:c>
    </x:row>
    <x:row r="197">
      <x:c r="A197" s="26" t="str">
        <x:f>IF(OR(B197="",C197=""),"",B197&amp;"|"&amp;C197)</x:f>
      </x:c>
      <x:c r="B197" s="26"/>
      <x:c r="C197" s="26"/>
      <x:c r="D197" s="26"/>
      <x:c r="E197" s="26"/>
      <x:c r="F197" s="26"/>
      <x:c r="G197" s="26"/>
      <x:c r="H197" s="26"/>
      <x:c r="I197" s="26"/>
      <x:c r="J197" s="26"/>
      <x:c r="K197" s="27" t="str">
        <x:f>IF(COUNTA(D197:I197)=0,"",SUM(D197:I197))</x:f>
      </x:c>
    </x:row>
    <x:row r="198">
      <x:c r="A198" s="26" t="str">
        <x:f>IF(OR(B198="",C198=""),"",B198&amp;"|"&amp;C198)</x:f>
      </x:c>
      <x:c r="B198" s="26"/>
      <x:c r="C198" s="26"/>
      <x:c r="D198" s="26"/>
      <x:c r="E198" s="26"/>
      <x:c r="F198" s="26"/>
      <x:c r="G198" s="26"/>
      <x:c r="H198" s="26"/>
      <x:c r="I198" s="26"/>
      <x:c r="J198" s="26"/>
      <x:c r="K198" s="27" t="str">
        <x:f>IF(COUNTA(D198:I198)=0,"",SUM(D198:I198))</x:f>
      </x:c>
    </x:row>
    <x:row r="199">
      <x:c r="A199" s="26" t="str">
        <x:f>IF(OR(B199="",C199=""),"",B199&amp;"|"&amp;C199)</x:f>
      </x:c>
      <x:c r="B199" s="26"/>
      <x:c r="C199" s="26"/>
      <x:c r="D199" s="26"/>
      <x:c r="E199" s="26"/>
      <x:c r="F199" s="26"/>
      <x:c r="G199" s="26"/>
      <x:c r="H199" s="26"/>
      <x:c r="I199" s="26"/>
      <x:c r="J199" s="26"/>
      <x:c r="K199" s="27" t="str">
        <x:f>IF(COUNTA(D199:I199)=0,"",SUM(D199:I199))</x:f>
      </x:c>
    </x:row>
    <x:row r="200">
      <x:c r="A200" s="26" t="str">
        <x:f>IF(OR(B200="",C200=""),"",B200&amp;"|"&amp;C200)</x:f>
      </x:c>
      <x:c r="B200" s="26"/>
      <x:c r="C200" s="26"/>
      <x:c r="D200" s="26"/>
      <x:c r="E200" s="26"/>
      <x:c r="F200" s="26"/>
      <x:c r="G200" s="26"/>
      <x:c r="H200" s="26"/>
      <x:c r="I200" s="26"/>
      <x:c r="J200" s="26"/>
      <x:c r="K200" s="27" t="str">
        <x:f>IF(COUNTA(D200:I200)=0,"",SUM(D200:I200))</x:f>
      </x:c>
    </x:row>
    <x:row r="201">
      <x:c r="A201" s="26" t="str">
        <x:f>IF(OR(B201="",C201=""),"",B201&amp;"|"&amp;C201)</x:f>
      </x:c>
      <x:c r="B201" s="26"/>
      <x:c r="C201" s="26"/>
      <x:c r="D201" s="26"/>
      <x:c r="E201" s="26"/>
      <x:c r="F201" s="26"/>
      <x:c r="G201" s="26"/>
      <x:c r="H201" s="26"/>
      <x:c r="I201" s="26"/>
      <x:c r="J201" s="26"/>
      <x:c r="K201" s="27" t="str">
        <x:f>IF(COUNTA(D201:I201)=0,"",SUM(D201:I201))</x:f>
      </x:c>
    </x:row>
    <x:row r="202">
      <x:c r="A202" s="26" t="str">
        <x:f>IF(OR(B202="",C202=""),"",B202&amp;"|"&amp;C202)</x:f>
      </x:c>
      <x:c r="B202" s="26"/>
      <x:c r="C202" s="26"/>
      <x:c r="D202" s="26"/>
      <x:c r="E202" s="26"/>
      <x:c r="F202" s="26"/>
      <x:c r="G202" s="26"/>
      <x:c r="H202" s="26"/>
      <x:c r="I202" s="26"/>
      <x:c r="J202" s="26"/>
      <x:c r="K202" s="27" t="str">
        <x:f>IF(COUNTA(D202:I202)=0,"",SUM(D202:I202))</x:f>
      </x:c>
    </x:row>
    <x:row r="203">
      <x:c r="A203" s="26" t="str">
        <x:f>IF(OR(B203="",C203=""),"",B203&amp;"|"&amp;C203)</x:f>
      </x:c>
      <x:c r="B203" s="26"/>
      <x:c r="C203" s="26"/>
      <x:c r="D203" s="26"/>
      <x:c r="E203" s="26"/>
      <x:c r="F203" s="26"/>
      <x:c r="G203" s="26"/>
      <x:c r="H203" s="26"/>
      <x:c r="I203" s="26"/>
      <x:c r="J203" s="26"/>
      <x:c r="K203" s="27" t="str">
        <x:f>IF(COUNTA(D203:I203)=0,"",SUM(D203:I203))</x:f>
      </x:c>
    </x:row>
  </x:sheetData>
  <x:mergeCells>
    <x:mergeCell ref="A1:K1"/>
  </x:mergeCells>
  <x:conditionalFormatting sqref="K4:K203">
    <x:cfRule type="colorScale" priority="1">
      <x:colorScale>
        <x:cfvo type="num" val="0"/>
        <x:cfvo type="num" val="70"/>
        <x:cfvo type="num" val="100"/>
        <x:color rgb="FFE56B6F"/>
        <x:color rgb="FFF6C85F"/>
        <x:color rgb="FFD9F0EC"/>
      </x:colorScale>
    </x:cfRule>
  </x:conditionalFormatting>
  <x:dataValidations count="1">
    <x:dataValidation type="whole" operator="between" sqref="D4:I203">
      <x:formula1>0</x:formula1>
      <x:formula2>30</x:formula2>
    </x:dataValidation>
  </x:dataValidations>
  <x:pageMargins left="0.7" right="0.7" top="0.75" bottom="0.75" header="0.3" footer="0.3"/>
  <x:tableParts count="1">
    <x:tablePart xmlns:r="http://schemas.openxmlformats.org/officeDocument/2006/relationships" r:id="Rc6393615f6364cdd"/>
  </x:tableParts>
</x:worksheet>
</file>

<file path=xl/worksheets/sheet4.xml><?xml version="1.0" encoding="utf-8"?>
<x:worksheet xmlns:x="http://schemas.openxmlformats.org/spreadsheetml/2006/main">
  <x:sheetViews>
    <x:sheetView showGridLines="0" workbookViewId="0"/>
  </x:sheetViews>
  <x:sheetFormatPr defaultRowHeight="15"/>
  <x:cols>
    <x:col min="1" max="1" width="20" hidden="0" customWidth="1"/>
    <x:col min="2" max="2" width="32.5" hidden="0" customWidth="1"/>
    <x:col min="3" max="3" width="32.5" hidden="0" customWidth="1"/>
    <x:col min="4" max="4" width="32.5" hidden="0" customWidth="1"/>
    <x:col min="5" max="5" width="32.5" hidden="0" customWidth="1"/>
    <x:col min="6" max="6" width="20" hidden="0" customWidth="1"/>
  </x:cols>
  <x:sheetData>
    <x:row r="1" ht="25.5" customHeight="1">
      <x:c r="A1" s="11" t="str">
        <x:v>Reusable Application Question Bank</x:v>
      </x:c>
      <x:c r="B1" s="11"/>
      <x:c r="C1" s="11"/>
      <x:c r="D1" s="11"/>
      <x:c r="E1" s="11"/>
      <x:c r="F1" s="11"/>
    </x:row>
    <x:row r="2">
      <x:c r="A2" s="12"/>
      <x:c r="B2" s="12"/>
      <x:c r="C2" s="12"/>
      <x:c r="D2" s="12"/>
      <x:c r="E2" s="12"/>
      <x:c r="F2" s="12"/>
    </x:row>
    <x:row r="3">
      <x:c r="A3" s="13" t="str">
        <x:v>Question Type</x:v>
      </x:c>
      <x:c r="B3" s="13" t="str">
        <x:v>Prompt</x:v>
      </x:c>
      <x:c r="C3" s="13" t="str">
        <x:v>Base Answer</x:v>
      </x:c>
      <x:c r="D3" s="13" t="str">
        <x:v>Role-Specific Notes</x:v>
      </x:c>
      <x:c r="E3" s="13" t="str">
        <x:v>Final Answer</x:v>
      </x:c>
      <x:c r="F3" s="13" t="str">
        <x:v>Last Updated</x:v>
      </x:c>
    </x:row>
    <x:row r="4">
      <x:c r="A4" s="26" t="str">
        <x:v>Work rights</x:v>
      </x:c>
      <x:c r="B4" s="26" t="str">
        <x:v>Are you legally authorized to work in this country?</x:v>
      </x:c>
      <x:c r="C4" s="26" t="str">
        <x:v>Yes.</x:v>
      </x:c>
      <x:c r="D4" s="26" t="str"/>
      <x:c r="E4" s="26" t="str"/>
      <x:c r="F4" s="26" t="str"/>
    </x:row>
    <x:row r="5">
      <x:c r="A5" s="26" t="str">
        <x:v>Availability</x:v>
      </x:c>
      <x:c r="B5" s="26" t="str">
        <x:v>When can you start?</x:v>
      </x:c>
      <x:c r="C5" s="26" t="str">
        <x:v>I can start after providing appropriate notice to my current commitments.</x:v>
      </x:c>
      <x:c r="D5" s="26" t="str"/>
      <x:c r="E5" s="26" t="str"/>
      <x:c r="F5" s="26" t="str"/>
    </x:row>
    <x:row r="6">
      <x:c r="A6" s="26" t="str">
        <x:v>Motivation</x:v>
      </x:c>
      <x:c r="B6" s="26" t="str">
        <x:v>Why are you interested in this role?</x:v>
      </x:c>
      <x:c r="C6" s="26" t="str">
        <x:v>I am interested because the role aligns with my experience, strengths, and career goals.</x:v>
      </x:c>
      <x:c r="D6" s="26" t="str">
        <x:v>Add company-specific reason.</x:v>
      </x:c>
      <x:c r="E6" s="26" t="str"/>
      <x:c r="F6" s="26" t="str"/>
    </x:row>
    <x:row r="7">
      <x:c r="A7" s="26" t="str">
        <x:v>Strengths</x:v>
      </x:c>
      <x:c r="B7" s="26" t="str">
        <x:v>What are your top strengths?</x:v>
      </x:c>
      <x:c r="C7" s="26" t="str">
        <x:v>Communication, reliability, problem solving, and learning quickly.</x:v>
      </x:c>
      <x:c r="D7" s="26" t="str">
        <x:v>Map to job requirements.</x:v>
      </x:c>
      <x:c r="E7" s="26" t="str"/>
      <x:c r="F7" s="26" t="str"/>
    </x:row>
    <x:row r="8">
      <x:c r="A8" s="26" t="str">
        <x:v>Experience</x:v>
      </x:c>
      <x:c r="B8" s="26" t="str">
        <x:v>Describe relevant experience.</x:v>
      </x:c>
      <x:c r="C8" s="26" t="str">
        <x:v>Summarize your most relevant role, tools, achievements, and measurable outcomes.</x:v>
      </x:c>
      <x:c r="D8" s="26" t="str">
        <x:v>Use keywords from job ad.</x:v>
      </x:c>
      <x:c r="E8" s="26" t="str"/>
      <x:c r="F8" s="26" t="str"/>
    </x:row>
    <x:row r="9">
      <x:c r="A9" s="26" t="str">
        <x:v>Salary</x:v>
      </x:c>
      <x:c r="B9" s="26" t="str">
        <x:v>What are your salary expectations?</x:v>
      </x:c>
      <x:c r="C9" s="26" t="str">
        <x:v>Open to discussing a fair range based on role scope and total package.</x:v>
      </x:c>
      <x:c r="D9" s="26" t="str">
        <x:v>Add target range if required.</x:v>
      </x:c>
      <x:c r="E9" s="26" t="str"/>
      <x:c r="F9" s="26" t="str"/>
    </x:row>
    <x:row r="10">
      <x:c r="A10" s="26" t="str">
        <x:v>Cover letter</x:v>
      </x:c>
      <x:c r="B10" s="26" t="str">
        <x:v>Short cover letter paragraph.</x:v>
      </x:c>
      <x:c r="C10" s="26" t="str">
        <x:v>I am excited to apply for this role and would welcome the chance to contribute.</x:v>
      </x:c>
      <x:c r="D10" s="26" t="str">
        <x:v>Mention company, role, and 2-3 matched strengths.</x:v>
      </x:c>
      <x:c r="E10" s="26" t="str"/>
      <x:c r="F10" s="26" t="str"/>
    </x:row>
    <x:row r="11">
      <x:c r="A11" s="26" t="str">
        <x:v>Follow-up</x:v>
      </x:c>
      <x:c r="B11" s="26" t="str">
        <x:v>Follow-up after applying.</x:v>
      </x:c>
      <x:c r="C11" s="26" t="str">
        <x:v>I recently applied and wanted to express my continued interest in the role.</x:v>
      </x:c>
      <x:c r="D11" s="26" t="str">
        <x:v>Add date and role title.</x:v>
      </x:c>
      <x:c r="E11" s="26" t="str"/>
      <x:c r="F11" s="26" t="str"/>
    </x:row>
    <x:row r="12">
      <x:c r="A12" s="26" t="str">
        <x:v>Interview</x:v>
      </x:c>
      <x:c r="B12" s="26" t="str">
        <x:v>Thank-you note after interview.</x:v>
      </x:c>
      <x:c r="C12" s="26" t="str">
        <x:v>Thank you for taking the time to speak with me today.</x:v>
      </x:c>
      <x:c r="D12" s="26" t="str">
        <x:v>Reference conversation detail.</x:v>
      </x:c>
      <x:c r="E12" s="26" t="str"/>
      <x:c r="F12" s="26" t="str"/>
    </x:row>
    <x:row r="13">
      <x:c r="A13" s="26" t="str">
        <x:v>Referee</x:v>
      </x:c>
      <x:c r="B13" s="26" t="str">
        <x:v>Reference availability.</x:v>
      </x:c>
      <x:c r="C13" s="26" t="str">
        <x:v>References are available upon request.</x:v>
      </x:c>
      <x:c r="D13" s="26" t="str"/>
      <x:c r="E13" s="26" t="str"/>
      <x:c r="F13" s="26" t="str"/>
    </x:row>
    <x:row r="14">
      <x:c r="A14" s="26"/>
      <x:c r="B14" s="26"/>
      <x:c r="C14" s="26"/>
      <x:c r="D14" s="26"/>
      <x:c r="E14" s="26"/>
      <x:c r="F14" s="26"/>
    </x:row>
    <x:row r="15">
      <x:c r="A15" s="26"/>
      <x:c r="B15" s="26"/>
      <x:c r="C15" s="26"/>
      <x:c r="D15" s="26"/>
      <x:c r="E15" s="26"/>
      <x:c r="F15" s="26"/>
    </x:row>
    <x:row r="16">
      <x:c r="A16" s="26"/>
      <x:c r="B16" s="26"/>
      <x:c r="C16" s="26"/>
      <x:c r="D16" s="26"/>
      <x:c r="E16" s="26"/>
      <x:c r="F16" s="26"/>
    </x:row>
    <x:row r="17">
      <x:c r="A17" s="26"/>
      <x:c r="B17" s="26"/>
      <x:c r="C17" s="26"/>
      <x:c r="D17" s="26"/>
      <x:c r="E17" s="26"/>
      <x:c r="F17" s="26"/>
    </x:row>
    <x:row r="18">
      <x:c r="A18" s="26"/>
      <x:c r="B18" s="26"/>
      <x:c r="C18" s="26"/>
      <x:c r="D18" s="26"/>
      <x:c r="E18" s="26"/>
      <x:c r="F18" s="26"/>
    </x:row>
    <x:row r="19">
      <x:c r="A19" s="26"/>
      <x:c r="B19" s="26"/>
      <x:c r="C19" s="26"/>
      <x:c r="D19" s="26"/>
      <x:c r="E19" s="26"/>
      <x:c r="F19" s="26"/>
    </x:row>
    <x:row r="20">
      <x:c r="A20" s="26"/>
      <x:c r="B20" s="26"/>
      <x:c r="C20" s="26"/>
      <x:c r="D20" s="26"/>
      <x:c r="E20" s="26"/>
      <x:c r="F20" s="26"/>
    </x:row>
    <x:row r="21">
      <x:c r="A21" s="26"/>
      <x:c r="B21" s="26"/>
      <x:c r="C21" s="26"/>
      <x:c r="D21" s="26"/>
      <x:c r="E21" s="26"/>
      <x:c r="F21" s="26"/>
    </x:row>
    <x:row r="22">
      <x:c r="A22" s="26"/>
      <x:c r="B22" s="26"/>
      <x:c r="C22" s="26"/>
      <x:c r="D22" s="26"/>
      <x:c r="E22" s="26"/>
      <x:c r="F22" s="26"/>
    </x:row>
    <x:row r="23">
      <x:c r="A23" s="26"/>
      <x:c r="B23" s="26"/>
      <x:c r="C23" s="26"/>
      <x:c r="D23" s="26"/>
      <x:c r="E23" s="26"/>
      <x:c r="F23" s="26"/>
    </x:row>
    <x:row r="24">
      <x:c r="A24" s="26"/>
      <x:c r="B24" s="26"/>
      <x:c r="C24" s="26"/>
      <x:c r="D24" s="26"/>
      <x:c r="E24" s="26"/>
      <x:c r="F24" s="26"/>
    </x:row>
    <x:row r="25">
      <x:c r="A25" s="26"/>
      <x:c r="B25" s="26"/>
      <x:c r="C25" s="26"/>
      <x:c r="D25" s="26"/>
      <x:c r="E25" s="26"/>
      <x:c r="F25" s="26"/>
    </x:row>
    <x:row r="26">
      <x:c r="A26" s="26"/>
      <x:c r="B26" s="26"/>
      <x:c r="C26" s="26"/>
      <x:c r="D26" s="26"/>
      <x:c r="E26" s="26"/>
      <x:c r="F26" s="26"/>
    </x:row>
    <x:row r="27">
      <x:c r="A27" s="26"/>
      <x:c r="B27" s="26"/>
      <x:c r="C27" s="26"/>
      <x:c r="D27" s="26"/>
      <x:c r="E27" s="26"/>
      <x:c r="F27" s="26"/>
    </x:row>
    <x:row r="28">
      <x:c r="A28" s="26"/>
      <x:c r="B28" s="26"/>
      <x:c r="C28" s="26"/>
      <x:c r="D28" s="26"/>
      <x:c r="E28" s="26"/>
      <x:c r="F28" s="26"/>
    </x:row>
    <x:row r="29">
      <x:c r="A29" s="26"/>
      <x:c r="B29" s="26"/>
      <x:c r="C29" s="26"/>
      <x:c r="D29" s="26"/>
      <x:c r="E29" s="26"/>
      <x:c r="F29" s="26"/>
    </x:row>
    <x:row r="30">
      <x:c r="A30" s="26"/>
      <x:c r="B30" s="26"/>
      <x:c r="C30" s="26"/>
      <x:c r="D30" s="26"/>
      <x:c r="E30" s="26"/>
      <x:c r="F30" s="26"/>
    </x:row>
    <x:row r="31">
      <x:c r="A31" s="26"/>
      <x:c r="B31" s="26"/>
      <x:c r="C31" s="26"/>
      <x:c r="D31" s="26"/>
      <x:c r="E31" s="26"/>
      <x:c r="F31" s="26"/>
    </x:row>
    <x:row r="32">
      <x:c r="A32" s="26"/>
      <x:c r="B32" s="26"/>
      <x:c r="C32" s="26"/>
      <x:c r="D32" s="26"/>
      <x:c r="E32" s="26"/>
      <x:c r="F32" s="26"/>
    </x:row>
    <x:row r="33">
      <x:c r="A33" s="26"/>
      <x:c r="B33" s="26"/>
      <x:c r="C33" s="26"/>
      <x:c r="D33" s="26"/>
      <x:c r="E33" s="26"/>
      <x:c r="F33" s="26"/>
    </x:row>
    <x:row r="34">
      <x:c r="A34" s="26"/>
      <x:c r="B34" s="26"/>
      <x:c r="C34" s="26"/>
      <x:c r="D34" s="26"/>
      <x:c r="E34" s="26"/>
      <x:c r="F34" s="26"/>
    </x:row>
    <x:row r="35">
      <x:c r="A35" s="26"/>
      <x:c r="B35" s="26"/>
      <x:c r="C35" s="26"/>
      <x:c r="D35" s="26"/>
      <x:c r="E35" s="26"/>
      <x:c r="F35" s="26"/>
    </x:row>
    <x:row r="36">
      <x:c r="A36" s="26"/>
      <x:c r="B36" s="26"/>
      <x:c r="C36" s="26"/>
      <x:c r="D36" s="26"/>
      <x:c r="E36" s="26"/>
      <x:c r="F36" s="26"/>
    </x:row>
    <x:row r="37">
      <x:c r="A37" s="26"/>
      <x:c r="B37" s="26"/>
      <x:c r="C37" s="26"/>
      <x:c r="D37" s="26"/>
      <x:c r="E37" s="26"/>
      <x:c r="F37" s="26"/>
    </x:row>
    <x:row r="38">
      <x:c r="A38" s="26"/>
      <x:c r="B38" s="26"/>
      <x:c r="C38" s="26"/>
      <x:c r="D38" s="26"/>
      <x:c r="E38" s="26"/>
      <x:c r="F38" s="26"/>
    </x:row>
    <x:row r="39">
      <x:c r="A39" s="26"/>
      <x:c r="B39" s="26"/>
      <x:c r="C39" s="26"/>
      <x:c r="D39" s="26"/>
      <x:c r="E39" s="26"/>
      <x:c r="F39" s="26"/>
    </x:row>
    <x:row r="40">
      <x:c r="A40" s="26"/>
      <x:c r="B40" s="26"/>
      <x:c r="C40" s="26"/>
      <x:c r="D40" s="26"/>
      <x:c r="E40" s="26"/>
      <x:c r="F40" s="26"/>
    </x:row>
    <x:row r="41">
      <x:c r="A41" s="26"/>
      <x:c r="B41" s="26"/>
      <x:c r="C41" s="26"/>
      <x:c r="D41" s="26"/>
      <x:c r="E41" s="26"/>
      <x:c r="F41" s="26"/>
    </x:row>
    <x:row r="42">
      <x:c r="A42" s="26"/>
      <x:c r="B42" s="26"/>
      <x:c r="C42" s="26"/>
      <x:c r="D42" s="26"/>
      <x:c r="E42" s="26"/>
      <x:c r="F42" s="26"/>
    </x:row>
    <x:row r="43">
      <x:c r="A43" s="26"/>
      <x:c r="B43" s="26"/>
      <x:c r="C43" s="26"/>
      <x:c r="D43" s="26"/>
      <x:c r="E43" s="26"/>
      <x:c r="F43" s="26"/>
    </x:row>
    <x:row r="44">
      <x:c r="A44" s="26"/>
      <x:c r="B44" s="26"/>
      <x:c r="C44" s="26"/>
      <x:c r="D44" s="26"/>
      <x:c r="E44" s="26"/>
      <x:c r="F44" s="26"/>
    </x:row>
    <x:row r="45">
      <x:c r="A45" s="26"/>
      <x:c r="B45" s="26"/>
      <x:c r="C45" s="26"/>
      <x:c r="D45" s="26"/>
      <x:c r="E45" s="26"/>
      <x:c r="F45" s="26"/>
    </x:row>
    <x:row r="46">
      <x:c r="A46" s="26"/>
      <x:c r="B46" s="26"/>
      <x:c r="C46" s="26"/>
      <x:c r="D46" s="26"/>
      <x:c r="E46" s="26"/>
      <x:c r="F46" s="26"/>
    </x:row>
    <x:row r="47">
      <x:c r="A47" s="26"/>
      <x:c r="B47" s="26"/>
      <x:c r="C47" s="26"/>
      <x:c r="D47" s="26"/>
      <x:c r="E47" s="26"/>
      <x:c r="F47" s="26"/>
    </x:row>
    <x:row r="48">
      <x:c r="A48" s="26"/>
      <x:c r="B48" s="26"/>
      <x:c r="C48" s="26"/>
      <x:c r="D48" s="26"/>
      <x:c r="E48" s="26"/>
      <x:c r="F48" s="26"/>
    </x:row>
    <x:row r="49">
      <x:c r="A49" s="26"/>
      <x:c r="B49" s="26"/>
      <x:c r="C49" s="26"/>
      <x:c r="D49" s="26"/>
      <x:c r="E49" s="26"/>
      <x:c r="F49" s="26"/>
    </x:row>
    <x:row r="50">
      <x:c r="A50" s="26"/>
      <x:c r="B50" s="26"/>
      <x:c r="C50" s="26"/>
      <x:c r="D50" s="26"/>
      <x:c r="E50" s="26"/>
      <x:c r="F50" s="26"/>
    </x:row>
    <x:row r="51">
      <x:c r="A51" s="26"/>
      <x:c r="B51" s="26"/>
      <x:c r="C51" s="26"/>
      <x:c r="D51" s="26"/>
      <x:c r="E51" s="26"/>
      <x:c r="F51" s="26"/>
    </x:row>
    <x:row r="52">
      <x:c r="A52" s="26"/>
      <x:c r="B52" s="26"/>
      <x:c r="C52" s="26"/>
      <x:c r="D52" s="26"/>
      <x:c r="E52" s="26"/>
      <x:c r="F52" s="26"/>
    </x:row>
    <x:row r="53">
      <x:c r="A53" s="26"/>
      <x:c r="B53" s="26"/>
      <x:c r="C53" s="26"/>
      <x:c r="D53" s="26"/>
      <x:c r="E53" s="26"/>
      <x:c r="F53" s="26"/>
    </x:row>
    <x:row r="54">
      <x:c r="A54" s="26"/>
      <x:c r="B54" s="26"/>
      <x:c r="C54" s="26"/>
      <x:c r="D54" s="26"/>
      <x:c r="E54" s="26"/>
      <x:c r="F54" s="26"/>
    </x:row>
    <x:row r="55">
      <x:c r="A55" s="26"/>
      <x:c r="B55" s="26"/>
      <x:c r="C55" s="26"/>
      <x:c r="D55" s="26"/>
      <x:c r="E55" s="26"/>
      <x:c r="F55" s="26"/>
    </x:row>
    <x:row r="56">
      <x:c r="A56" s="26"/>
      <x:c r="B56" s="26"/>
      <x:c r="C56" s="26"/>
      <x:c r="D56" s="26"/>
      <x:c r="E56" s="26"/>
      <x:c r="F56" s="26"/>
    </x:row>
    <x:row r="57">
      <x:c r="A57" s="26"/>
      <x:c r="B57" s="26"/>
      <x:c r="C57" s="26"/>
      <x:c r="D57" s="26"/>
      <x:c r="E57" s="26"/>
      <x:c r="F57" s="26"/>
    </x:row>
    <x:row r="58">
      <x:c r="A58" s="26"/>
      <x:c r="B58" s="26"/>
      <x:c r="C58" s="26"/>
      <x:c r="D58" s="26"/>
      <x:c r="E58" s="26"/>
      <x:c r="F58" s="26"/>
    </x:row>
    <x:row r="59">
      <x:c r="A59" s="26"/>
      <x:c r="B59" s="26"/>
      <x:c r="C59" s="26"/>
      <x:c r="D59" s="26"/>
      <x:c r="E59" s="26"/>
      <x:c r="F59" s="26"/>
    </x:row>
    <x:row r="60">
      <x:c r="A60" s="26"/>
      <x:c r="B60" s="26"/>
      <x:c r="C60" s="26"/>
      <x:c r="D60" s="26"/>
      <x:c r="E60" s="26"/>
      <x:c r="F60" s="26"/>
    </x:row>
    <x:row r="61">
      <x:c r="A61" s="26"/>
      <x:c r="B61" s="26"/>
      <x:c r="C61" s="26"/>
      <x:c r="D61" s="26"/>
      <x:c r="E61" s="26"/>
      <x:c r="F61" s="26"/>
    </x:row>
    <x:row r="62">
      <x:c r="A62" s="26"/>
      <x:c r="B62" s="26"/>
      <x:c r="C62" s="26"/>
      <x:c r="D62" s="26"/>
      <x:c r="E62" s="26"/>
      <x:c r="F62" s="26"/>
    </x:row>
    <x:row r="63">
      <x:c r="A63" s="26"/>
      <x:c r="B63" s="26"/>
      <x:c r="C63" s="26"/>
      <x:c r="D63" s="26"/>
      <x:c r="E63" s="26"/>
      <x:c r="F63" s="26"/>
    </x:row>
    <x:row r="64">
      <x:c r="A64" s="26"/>
      <x:c r="B64" s="26"/>
      <x:c r="C64" s="26"/>
      <x:c r="D64" s="26"/>
      <x:c r="E64" s="26"/>
      <x:c r="F64" s="26"/>
    </x:row>
    <x:row r="65">
      <x:c r="A65" s="26"/>
      <x:c r="B65" s="26"/>
      <x:c r="C65" s="26"/>
      <x:c r="D65" s="26"/>
      <x:c r="E65" s="26"/>
      <x:c r="F65" s="26"/>
    </x:row>
    <x:row r="66">
      <x:c r="A66" s="26"/>
      <x:c r="B66" s="26"/>
      <x:c r="C66" s="26"/>
      <x:c r="D66" s="26"/>
      <x:c r="E66" s="26"/>
      <x:c r="F66" s="26"/>
    </x:row>
    <x:row r="67">
      <x:c r="A67" s="26"/>
      <x:c r="B67" s="26"/>
      <x:c r="C67" s="26"/>
      <x:c r="D67" s="26"/>
      <x:c r="E67" s="26"/>
      <x:c r="F67" s="26"/>
    </x:row>
    <x:row r="68">
      <x:c r="A68" s="26"/>
      <x:c r="B68" s="26"/>
      <x:c r="C68" s="26"/>
      <x:c r="D68" s="26"/>
      <x:c r="E68" s="26"/>
      <x:c r="F68" s="26"/>
    </x:row>
    <x:row r="69">
      <x:c r="A69" s="26"/>
      <x:c r="B69" s="26"/>
      <x:c r="C69" s="26"/>
      <x:c r="D69" s="26"/>
      <x:c r="E69" s="26"/>
      <x:c r="F69" s="26"/>
    </x:row>
    <x:row r="70">
      <x:c r="A70" s="26"/>
      <x:c r="B70" s="26"/>
      <x:c r="C70" s="26"/>
      <x:c r="D70" s="26"/>
      <x:c r="E70" s="26"/>
      <x:c r="F70" s="26"/>
    </x:row>
    <x:row r="71">
      <x:c r="A71" s="26"/>
      <x:c r="B71" s="26"/>
      <x:c r="C71" s="26"/>
      <x:c r="D71" s="26"/>
      <x:c r="E71" s="26"/>
      <x:c r="F71" s="26"/>
    </x:row>
    <x:row r="72">
      <x:c r="A72" s="26"/>
      <x:c r="B72" s="26"/>
      <x:c r="C72" s="26"/>
      <x:c r="D72" s="26"/>
      <x:c r="E72" s="26"/>
      <x:c r="F72" s="26"/>
    </x:row>
    <x:row r="73">
      <x:c r="A73" s="26"/>
      <x:c r="B73" s="26"/>
      <x:c r="C73" s="26"/>
      <x:c r="D73" s="26"/>
      <x:c r="E73" s="26"/>
      <x:c r="F73" s="26"/>
    </x:row>
    <x:row r="74">
      <x:c r="A74" s="26"/>
      <x:c r="B74" s="26"/>
      <x:c r="C74" s="26"/>
      <x:c r="D74" s="26"/>
      <x:c r="E74" s="26"/>
      <x:c r="F74" s="26"/>
    </x:row>
    <x:row r="75">
      <x:c r="A75" s="26"/>
      <x:c r="B75" s="26"/>
      <x:c r="C75" s="26"/>
      <x:c r="D75" s="26"/>
      <x:c r="E75" s="26"/>
      <x:c r="F75" s="26"/>
    </x:row>
    <x:row r="76">
      <x:c r="A76" s="26"/>
      <x:c r="B76" s="26"/>
      <x:c r="C76" s="26"/>
      <x:c r="D76" s="26"/>
      <x:c r="E76" s="26"/>
      <x:c r="F76" s="26"/>
    </x:row>
    <x:row r="77">
      <x:c r="A77" s="26"/>
      <x:c r="B77" s="26"/>
      <x:c r="C77" s="26"/>
      <x:c r="D77" s="26"/>
      <x:c r="E77" s="26"/>
      <x:c r="F77" s="26"/>
    </x:row>
    <x:row r="78">
      <x:c r="A78" s="26"/>
      <x:c r="B78" s="26"/>
      <x:c r="C78" s="26"/>
      <x:c r="D78" s="26"/>
      <x:c r="E78" s="26"/>
      <x:c r="F78" s="26"/>
    </x:row>
    <x:row r="79">
      <x:c r="A79" s="26"/>
      <x:c r="B79" s="26"/>
      <x:c r="C79" s="26"/>
      <x:c r="D79" s="26"/>
      <x:c r="E79" s="26"/>
      <x:c r="F79" s="26"/>
    </x:row>
    <x:row r="80">
      <x:c r="A80" s="26"/>
      <x:c r="B80" s="26"/>
      <x:c r="C80" s="26"/>
      <x:c r="D80" s="26"/>
      <x:c r="E80" s="26"/>
      <x:c r="F80" s="26"/>
    </x:row>
    <x:row r="81">
      <x:c r="A81" s="26"/>
      <x:c r="B81" s="26"/>
      <x:c r="C81" s="26"/>
      <x:c r="D81" s="26"/>
      <x:c r="E81" s="26"/>
      <x:c r="F81" s="26"/>
    </x:row>
    <x:row r="82">
      <x:c r="A82" s="26"/>
      <x:c r="B82" s="26"/>
      <x:c r="C82" s="26"/>
      <x:c r="D82" s="26"/>
      <x:c r="E82" s="26"/>
      <x:c r="F82" s="26"/>
    </x:row>
    <x:row r="83">
      <x:c r="A83" s="26"/>
      <x:c r="B83" s="26"/>
      <x:c r="C83" s="26"/>
      <x:c r="D83" s="26"/>
      <x:c r="E83" s="26"/>
      <x:c r="F83" s="26"/>
    </x:row>
    <x:row r="84">
      <x:c r="A84" s="26"/>
      <x:c r="B84" s="26"/>
      <x:c r="C84" s="26"/>
      <x:c r="D84" s="26"/>
      <x:c r="E84" s="26"/>
      <x:c r="F84" s="26"/>
    </x:row>
    <x:row r="85">
      <x:c r="A85" s="26"/>
      <x:c r="B85" s="26"/>
      <x:c r="C85" s="26"/>
      <x:c r="D85" s="26"/>
      <x:c r="E85" s="26"/>
      <x:c r="F85" s="26"/>
    </x:row>
    <x:row r="86">
      <x:c r="A86" s="26"/>
      <x:c r="B86" s="26"/>
      <x:c r="C86" s="26"/>
      <x:c r="D86" s="26"/>
      <x:c r="E86" s="26"/>
      <x:c r="F86" s="26"/>
    </x:row>
    <x:row r="87">
      <x:c r="A87" s="26"/>
      <x:c r="B87" s="26"/>
      <x:c r="C87" s="26"/>
      <x:c r="D87" s="26"/>
      <x:c r="E87" s="26"/>
      <x:c r="F87" s="26"/>
    </x:row>
    <x:row r="88">
      <x:c r="A88" s="26"/>
      <x:c r="B88" s="26"/>
      <x:c r="C88" s="26"/>
      <x:c r="D88" s="26"/>
      <x:c r="E88" s="26"/>
      <x:c r="F88" s="26"/>
    </x:row>
    <x:row r="89">
      <x:c r="A89" s="26"/>
      <x:c r="B89" s="26"/>
      <x:c r="C89" s="26"/>
      <x:c r="D89" s="26"/>
      <x:c r="E89" s="26"/>
      <x:c r="F89" s="26"/>
    </x:row>
    <x:row r="90">
      <x:c r="A90" s="26"/>
      <x:c r="B90" s="26"/>
      <x:c r="C90" s="26"/>
      <x:c r="D90" s="26"/>
      <x:c r="E90" s="26"/>
      <x:c r="F90" s="26"/>
    </x:row>
    <x:row r="91">
      <x:c r="A91" s="26"/>
      <x:c r="B91" s="26"/>
      <x:c r="C91" s="26"/>
      <x:c r="D91" s="26"/>
      <x:c r="E91" s="26"/>
      <x:c r="F91" s="26"/>
    </x:row>
    <x:row r="92">
      <x:c r="A92" s="26"/>
      <x:c r="B92" s="26"/>
      <x:c r="C92" s="26"/>
      <x:c r="D92" s="26"/>
      <x:c r="E92" s="26"/>
      <x:c r="F92" s="26"/>
    </x:row>
    <x:row r="93">
      <x:c r="A93" s="26"/>
      <x:c r="B93" s="26"/>
      <x:c r="C93" s="26"/>
      <x:c r="D93" s="26"/>
      <x:c r="E93" s="26"/>
      <x:c r="F93" s="26"/>
    </x:row>
    <x:row r="94">
      <x:c r="A94" s="26"/>
      <x:c r="B94" s="26"/>
      <x:c r="C94" s="26"/>
      <x:c r="D94" s="26"/>
      <x:c r="E94" s="26"/>
      <x:c r="F94" s="26"/>
    </x:row>
    <x:row r="95">
      <x:c r="A95" s="26"/>
      <x:c r="B95" s="26"/>
      <x:c r="C95" s="26"/>
      <x:c r="D95" s="26"/>
      <x:c r="E95" s="26"/>
      <x:c r="F95" s="26"/>
    </x:row>
    <x:row r="96">
      <x:c r="A96" s="26"/>
      <x:c r="B96" s="26"/>
      <x:c r="C96" s="26"/>
      <x:c r="D96" s="26"/>
      <x:c r="E96" s="26"/>
      <x:c r="F96" s="26"/>
    </x:row>
    <x:row r="97">
      <x:c r="A97" s="26"/>
      <x:c r="B97" s="26"/>
      <x:c r="C97" s="26"/>
      <x:c r="D97" s="26"/>
      <x:c r="E97" s="26"/>
      <x:c r="F97" s="26"/>
    </x:row>
    <x:row r="98">
      <x:c r="A98" s="26"/>
      <x:c r="B98" s="26"/>
      <x:c r="C98" s="26"/>
      <x:c r="D98" s="26"/>
      <x:c r="E98" s="26"/>
      <x:c r="F98" s="26"/>
    </x:row>
    <x:row r="99">
      <x:c r="A99" s="26"/>
      <x:c r="B99" s="26"/>
      <x:c r="C99" s="26"/>
      <x:c r="D99" s="26"/>
      <x:c r="E99" s="26"/>
      <x:c r="F99" s="26"/>
    </x:row>
    <x:row r="100">
      <x:c r="A100" s="26"/>
      <x:c r="B100" s="26"/>
      <x:c r="C100" s="26"/>
      <x:c r="D100" s="26"/>
      <x:c r="E100" s="26"/>
      <x:c r="F100" s="26"/>
    </x:row>
    <x:row r="101">
      <x:c r="A101" s="26"/>
      <x:c r="B101" s="26"/>
      <x:c r="C101" s="26"/>
      <x:c r="D101" s="26"/>
      <x:c r="E101" s="26"/>
      <x:c r="F101" s="26"/>
    </x:row>
    <x:row r="102">
      <x:c r="A102" s="26"/>
      <x:c r="B102" s="26"/>
      <x:c r="C102" s="26"/>
      <x:c r="D102" s="26"/>
      <x:c r="E102" s="26"/>
      <x:c r="F102" s="26"/>
    </x:row>
    <x:row r="103">
      <x:c r="A103" s="26"/>
      <x:c r="B103" s="26"/>
      <x:c r="C103" s="26"/>
      <x:c r="D103" s="26"/>
      <x:c r="E103" s="26"/>
      <x:c r="F103" s="26"/>
    </x:row>
    <x:row r="104">
      <x:c r="A104" s="26"/>
      <x:c r="B104" s="26"/>
      <x:c r="C104" s="26"/>
      <x:c r="D104" s="26"/>
      <x:c r="E104" s="26"/>
      <x:c r="F104" s="26"/>
    </x:row>
    <x:row r="105">
      <x:c r="A105" s="26"/>
      <x:c r="B105" s="26"/>
      <x:c r="C105" s="26"/>
      <x:c r="D105" s="26"/>
      <x:c r="E105" s="26"/>
      <x:c r="F105" s="26"/>
    </x:row>
    <x:row r="106">
      <x:c r="A106" s="26"/>
      <x:c r="B106" s="26"/>
      <x:c r="C106" s="26"/>
      <x:c r="D106" s="26"/>
      <x:c r="E106" s="26"/>
      <x:c r="F106" s="26"/>
    </x:row>
    <x:row r="107">
      <x:c r="A107" s="26"/>
      <x:c r="B107" s="26"/>
      <x:c r="C107" s="26"/>
      <x:c r="D107" s="26"/>
      <x:c r="E107" s="26"/>
      <x:c r="F107" s="26"/>
    </x:row>
    <x:row r="108">
      <x:c r="A108" s="26"/>
      <x:c r="B108" s="26"/>
      <x:c r="C108" s="26"/>
      <x:c r="D108" s="26"/>
      <x:c r="E108" s="26"/>
      <x:c r="F108" s="26"/>
    </x:row>
    <x:row r="109">
      <x:c r="A109" s="26"/>
      <x:c r="B109" s="26"/>
      <x:c r="C109" s="26"/>
      <x:c r="D109" s="26"/>
      <x:c r="E109" s="26"/>
      <x:c r="F109" s="26"/>
    </x:row>
    <x:row r="110">
      <x:c r="A110" s="26"/>
      <x:c r="B110" s="26"/>
      <x:c r="C110" s="26"/>
      <x:c r="D110" s="26"/>
      <x:c r="E110" s="26"/>
      <x:c r="F110" s="26"/>
    </x:row>
    <x:row r="111">
      <x:c r="A111" s="26"/>
      <x:c r="B111" s="26"/>
      <x:c r="C111" s="26"/>
      <x:c r="D111" s="26"/>
      <x:c r="E111" s="26"/>
      <x:c r="F111" s="26"/>
    </x:row>
    <x:row r="112">
      <x:c r="A112" s="26"/>
      <x:c r="B112" s="26"/>
      <x:c r="C112" s="26"/>
      <x:c r="D112" s="26"/>
      <x:c r="E112" s="26"/>
      <x:c r="F112" s="26"/>
    </x:row>
    <x:row r="113">
      <x:c r="A113" s="26"/>
      <x:c r="B113" s="26"/>
      <x:c r="C113" s="26"/>
      <x:c r="D113" s="26"/>
      <x:c r="E113" s="26"/>
      <x:c r="F113" s="26"/>
    </x:row>
    <x:row r="114">
      <x:c r="A114" s="26"/>
      <x:c r="B114" s="26"/>
      <x:c r="C114" s="26"/>
      <x:c r="D114" s="26"/>
      <x:c r="E114" s="26"/>
      <x:c r="F114" s="26"/>
    </x:row>
    <x:row r="115">
      <x:c r="A115" s="26"/>
      <x:c r="B115" s="26"/>
      <x:c r="C115" s="26"/>
      <x:c r="D115" s="26"/>
      <x:c r="E115" s="26"/>
      <x:c r="F115" s="26"/>
    </x:row>
    <x:row r="116">
      <x:c r="A116" s="26"/>
      <x:c r="B116" s="26"/>
      <x:c r="C116" s="26"/>
      <x:c r="D116" s="26"/>
      <x:c r="E116" s="26"/>
      <x:c r="F116" s="26"/>
    </x:row>
    <x:row r="117">
      <x:c r="A117" s="26"/>
      <x:c r="B117" s="26"/>
      <x:c r="C117" s="26"/>
      <x:c r="D117" s="26"/>
      <x:c r="E117" s="26"/>
      <x:c r="F117" s="26"/>
    </x:row>
    <x:row r="118">
      <x:c r="A118" s="26"/>
      <x:c r="B118" s="26"/>
      <x:c r="C118" s="26"/>
      <x:c r="D118" s="26"/>
      <x:c r="E118" s="26"/>
      <x:c r="F118" s="26"/>
    </x:row>
    <x:row r="119">
      <x:c r="A119" s="26"/>
      <x:c r="B119" s="26"/>
      <x:c r="C119" s="26"/>
      <x:c r="D119" s="26"/>
      <x:c r="E119" s="26"/>
      <x:c r="F119" s="26"/>
    </x:row>
    <x:row r="120">
      <x:c r="A120" s="26"/>
      <x:c r="B120" s="26"/>
      <x:c r="C120" s="26"/>
      <x:c r="D120" s="26"/>
      <x:c r="E120" s="26"/>
      <x:c r="F120" s="26"/>
    </x:row>
    <x:row r="121">
      <x:c r="A121" s="26"/>
      <x:c r="B121" s="26"/>
      <x:c r="C121" s="26"/>
      <x:c r="D121" s="26"/>
      <x:c r="E121" s="26"/>
      <x:c r="F121" s="26"/>
    </x:row>
    <x:row r="122">
      <x:c r="A122" s="26"/>
      <x:c r="B122" s="26"/>
      <x:c r="C122" s="26"/>
      <x:c r="D122" s="26"/>
      <x:c r="E122" s="26"/>
      <x:c r="F122" s="26"/>
    </x:row>
    <x:row r="123">
      <x:c r="A123" s="26"/>
      <x:c r="B123" s="26"/>
      <x:c r="C123" s="26"/>
      <x:c r="D123" s="26"/>
      <x:c r="E123" s="26"/>
      <x:c r="F123" s="26"/>
    </x:row>
    <x:row r="124">
      <x:c r="A124" s="26"/>
      <x:c r="B124" s="26"/>
      <x:c r="C124" s="26"/>
      <x:c r="D124" s="26"/>
      <x:c r="E124" s="26"/>
      <x:c r="F124" s="26"/>
    </x:row>
    <x:row r="125">
      <x:c r="A125" s="26"/>
      <x:c r="B125" s="26"/>
      <x:c r="C125" s="26"/>
      <x:c r="D125" s="26"/>
      <x:c r="E125" s="26"/>
      <x:c r="F125" s="26"/>
    </x:row>
    <x:row r="126">
      <x:c r="A126" s="26"/>
      <x:c r="B126" s="26"/>
      <x:c r="C126" s="26"/>
      <x:c r="D126" s="26"/>
      <x:c r="E126" s="26"/>
      <x:c r="F126" s="26"/>
    </x:row>
    <x:row r="127">
      <x:c r="A127" s="26"/>
      <x:c r="B127" s="26"/>
      <x:c r="C127" s="26"/>
      <x:c r="D127" s="26"/>
      <x:c r="E127" s="26"/>
      <x:c r="F127" s="26"/>
    </x:row>
    <x:row r="128">
      <x:c r="A128" s="26"/>
      <x:c r="B128" s="26"/>
      <x:c r="C128" s="26"/>
      <x:c r="D128" s="26"/>
      <x:c r="E128" s="26"/>
      <x:c r="F128" s="26"/>
    </x:row>
    <x:row r="129">
      <x:c r="A129" s="26"/>
      <x:c r="B129" s="26"/>
      <x:c r="C129" s="26"/>
      <x:c r="D129" s="26"/>
      <x:c r="E129" s="26"/>
      <x:c r="F129" s="26"/>
    </x:row>
    <x:row r="130">
      <x:c r="A130" s="26"/>
      <x:c r="B130" s="26"/>
      <x:c r="C130" s="26"/>
      <x:c r="D130" s="26"/>
      <x:c r="E130" s="26"/>
      <x:c r="F130" s="26"/>
    </x:row>
    <x:row r="131">
      <x:c r="A131" s="26"/>
      <x:c r="B131" s="26"/>
      <x:c r="C131" s="26"/>
      <x:c r="D131" s="26"/>
      <x:c r="E131" s="26"/>
      <x:c r="F131" s="26"/>
    </x:row>
    <x:row r="132">
      <x:c r="A132" s="26"/>
      <x:c r="B132" s="26"/>
      <x:c r="C132" s="26"/>
      <x:c r="D132" s="26"/>
      <x:c r="E132" s="26"/>
      <x:c r="F132" s="26"/>
    </x:row>
    <x:row r="133">
      <x:c r="A133" s="26"/>
      <x:c r="B133" s="26"/>
      <x:c r="C133" s="26"/>
      <x:c r="D133" s="26"/>
      <x:c r="E133" s="26"/>
      <x:c r="F133" s="26"/>
    </x:row>
    <x:row r="134">
      <x:c r="A134" s="26"/>
      <x:c r="B134" s="26"/>
      <x:c r="C134" s="26"/>
      <x:c r="D134" s="26"/>
      <x:c r="E134" s="26"/>
      <x:c r="F134" s="26"/>
    </x:row>
    <x:row r="135">
      <x:c r="A135" s="26"/>
      <x:c r="B135" s="26"/>
      <x:c r="C135" s="26"/>
      <x:c r="D135" s="26"/>
      <x:c r="E135" s="26"/>
      <x:c r="F135" s="26"/>
    </x:row>
    <x:row r="136">
      <x:c r="A136" s="26"/>
      <x:c r="B136" s="26"/>
      <x:c r="C136" s="26"/>
      <x:c r="D136" s="26"/>
      <x:c r="E136" s="26"/>
      <x:c r="F136" s="26"/>
    </x:row>
    <x:row r="137">
      <x:c r="A137" s="26"/>
      <x:c r="B137" s="26"/>
      <x:c r="C137" s="26"/>
      <x:c r="D137" s="26"/>
      <x:c r="E137" s="26"/>
      <x:c r="F137" s="26"/>
    </x:row>
    <x:row r="138">
      <x:c r="A138" s="26"/>
      <x:c r="B138" s="26"/>
      <x:c r="C138" s="26"/>
      <x:c r="D138" s="26"/>
      <x:c r="E138" s="26"/>
      <x:c r="F138" s="26"/>
    </x:row>
    <x:row r="139">
      <x:c r="A139" s="26"/>
      <x:c r="B139" s="26"/>
      <x:c r="C139" s="26"/>
      <x:c r="D139" s="26"/>
      <x:c r="E139" s="26"/>
      <x:c r="F139" s="26"/>
    </x:row>
    <x:row r="140">
      <x:c r="A140" s="26"/>
      <x:c r="B140" s="26"/>
      <x:c r="C140" s="26"/>
      <x:c r="D140" s="26"/>
      <x:c r="E140" s="26"/>
      <x:c r="F140" s="26"/>
    </x:row>
    <x:row r="141">
      <x:c r="A141" s="26"/>
      <x:c r="B141" s="26"/>
      <x:c r="C141" s="26"/>
      <x:c r="D141" s="26"/>
      <x:c r="E141" s="26"/>
      <x:c r="F141" s="26"/>
    </x:row>
    <x:row r="142">
      <x:c r="A142" s="26"/>
      <x:c r="B142" s="26"/>
      <x:c r="C142" s="26"/>
      <x:c r="D142" s="26"/>
      <x:c r="E142" s="26"/>
      <x:c r="F142" s="26"/>
    </x:row>
    <x:row r="143">
      <x:c r="A143" s="26"/>
      <x:c r="B143" s="26"/>
      <x:c r="C143" s="26"/>
      <x:c r="D143" s="26"/>
      <x:c r="E143" s="26"/>
      <x:c r="F143" s="26"/>
    </x:row>
    <x:row r="144">
      <x:c r="A144" s="26"/>
      <x:c r="B144" s="26"/>
      <x:c r="C144" s="26"/>
      <x:c r="D144" s="26"/>
      <x:c r="E144" s="26"/>
      <x:c r="F144" s="26"/>
    </x:row>
    <x:row r="145">
      <x:c r="A145" s="26"/>
      <x:c r="B145" s="26"/>
      <x:c r="C145" s="26"/>
      <x:c r="D145" s="26"/>
      <x:c r="E145" s="26"/>
      <x:c r="F145" s="26"/>
    </x:row>
    <x:row r="146">
      <x:c r="A146" s="26"/>
      <x:c r="B146" s="26"/>
      <x:c r="C146" s="26"/>
      <x:c r="D146" s="26"/>
      <x:c r="E146" s="26"/>
      <x:c r="F146" s="26"/>
    </x:row>
    <x:row r="147">
      <x:c r="A147" s="26"/>
      <x:c r="B147" s="26"/>
      <x:c r="C147" s="26"/>
      <x:c r="D147" s="26"/>
      <x:c r="E147" s="26"/>
      <x:c r="F147" s="26"/>
    </x:row>
    <x:row r="148">
      <x:c r="A148" s="26"/>
      <x:c r="B148" s="26"/>
      <x:c r="C148" s="26"/>
      <x:c r="D148" s="26"/>
      <x:c r="E148" s="26"/>
      <x:c r="F148" s="26"/>
    </x:row>
    <x:row r="149">
      <x:c r="A149" s="26"/>
      <x:c r="B149" s="26"/>
      <x:c r="C149" s="26"/>
      <x:c r="D149" s="26"/>
      <x:c r="E149" s="26"/>
      <x:c r="F149" s="26"/>
    </x:row>
    <x:row r="150">
      <x:c r="A150" s="26"/>
      <x:c r="B150" s="26"/>
      <x:c r="C150" s="26"/>
      <x:c r="D150" s="26"/>
      <x:c r="E150" s="26"/>
      <x:c r="F150" s="26"/>
    </x:row>
    <x:row r="151">
      <x:c r="A151" s="26"/>
      <x:c r="B151" s="26"/>
      <x:c r="C151" s="26"/>
      <x:c r="D151" s="26"/>
      <x:c r="E151" s="26"/>
      <x:c r="F151" s="26"/>
    </x:row>
    <x:row r="152">
      <x:c r="A152" s="26"/>
      <x:c r="B152" s="26"/>
      <x:c r="C152" s="26"/>
      <x:c r="D152" s="26"/>
      <x:c r="E152" s="26"/>
      <x:c r="F152" s="26"/>
    </x:row>
    <x:row r="153">
      <x:c r="A153" s="26"/>
      <x:c r="B153" s="26"/>
      <x:c r="C153" s="26"/>
      <x:c r="D153" s="26"/>
      <x:c r="E153" s="26"/>
      <x:c r="F153" s="26"/>
    </x:row>
    <x:row r="154">
      <x:c r="A154" s="26"/>
      <x:c r="B154" s="26"/>
      <x:c r="C154" s="26"/>
      <x:c r="D154" s="26"/>
      <x:c r="E154" s="26"/>
      <x:c r="F154" s="26"/>
    </x:row>
    <x:row r="155">
      <x:c r="A155" s="26"/>
      <x:c r="B155" s="26"/>
      <x:c r="C155" s="26"/>
      <x:c r="D155" s="26"/>
      <x:c r="E155" s="26"/>
      <x:c r="F155" s="26"/>
    </x:row>
    <x:row r="156">
      <x:c r="A156" s="26"/>
      <x:c r="B156" s="26"/>
      <x:c r="C156" s="26"/>
      <x:c r="D156" s="26"/>
      <x:c r="E156" s="26"/>
      <x:c r="F156" s="26"/>
    </x:row>
    <x:row r="157">
      <x:c r="A157" s="26"/>
      <x:c r="B157" s="26"/>
      <x:c r="C157" s="26"/>
      <x:c r="D157" s="26"/>
      <x:c r="E157" s="26"/>
      <x:c r="F157" s="26"/>
    </x:row>
    <x:row r="158">
      <x:c r="A158" s="26"/>
      <x:c r="B158" s="26"/>
      <x:c r="C158" s="26"/>
      <x:c r="D158" s="26"/>
      <x:c r="E158" s="26"/>
      <x:c r="F158" s="26"/>
    </x:row>
    <x:row r="159">
      <x:c r="A159" s="26"/>
      <x:c r="B159" s="26"/>
      <x:c r="C159" s="26"/>
      <x:c r="D159" s="26"/>
      <x:c r="E159" s="26"/>
      <x:c r="F159" s="26"/>
    </x:row>
    <x:row r="160">
      <x:c r="A160" s="26"/>
      <x:c r="B160" s="26"/>
      <x:c r="C160" s="26"/>
      <x:c r="D160" s="26"/>
      <x:c r="E160" s="26"/>
      <x:c r="F160" s="26"/>
    </x:row>
    <x:row r="161">
      <x:c r="A161" s="26"/>
      <x:c r="B161" s="26"/>
      <x:c r="C161" s="26"/>
      <x:c r="D161" s="26"/>
      <x:c r="E161" s="26"/>
      <x:c r="F161" s="26"/>
    </x:row>
    <x:row r="162">
      <x:c r="A162" s="26"/>
      <x:c r="B162" s="26"/>
      <x:c r="C162" s="26"/>
      <x:c r="D162" s="26"/>
      <x:c r="E162" s="26"/>
      <x:c r="F162" s="26"/>
    </x:row>
    <x:row r="163">
      <x:c r="A163" s="26"/>
      <x:c r="B163" s="26"/>
      <x:c r="C163" s="26"/>
      <x:c r="D163" s="26"/>
      <x:c r="E163" s="26"/>
      <x:c r="F163" s="26"/>
    </x:row>
    <x:row r="164">
      <x:c r="A164" s="26"/>
      <x:c r="B164" s="26"/>
      <x:c r="C164" s="26"/>
      <x:c r="D164" s="26"/>
      <x:c r="E164" s="26"/>
      <x:c r="F164" s="26"/>
    </x:row>
    <x:row r="165">
      <x:c r="A165" s="26"/>
      <x:c r="B165" s="26"/>
      <x:c r="C165" s="26"/>
      <x:c r="D165" s="26"/>
      <x:c r="E165" s="26"/>
      <x:c r="F165" s="26"/>
    </x:row>
    <x:row r="166">
      <x:c r="A166" s="26"/>
      <x:c r="B166" s="26"/>
      <x:c r="C166" s="26"/>
      <x:c r="D166" s="26"/>
      <x:c r="E166" s="26"/>
      <x:c r="F166" s="26"/>
    </x:row>
    <x:row r="167">
      <x:c r="A167" s="26"/>
      <x:c r="B167" s="26"/>
      <x:c r="C167" s="26"/>
      <x:c r="D167" s="26"/>
      <x:c r="E167" s="26"/>
      <x:c r="F167" s="26"/>
    </x:row>
    <x:row r="168">
      <x:c r="A168" s="26"/>
      <x:c r="B168" s="26"/>
      <x:c r="C168" s="26"/>
      <x:c r="D168" s="26"/>
      <x:c r="E168" s="26"/>
      <x:c r="F168" s="26"/>
    </x:row>
    <x:row r="169">
      <x:c r="A169" s="26"/>
      <x:c r="B169" s="26"/>
      <x:c r="C169" s="26"/>
      <x:c r="D169" s="26"/>
      <x:c r="E169" s="26"/>
      <x:c r="F169" s="26"/>
    </x:row>
    <x:row r="170">
      <x:c r="A170" s="26"/>
      <x:c r="B170" s="26"/>
      <x:c r="C170" s="26"/>
      <x:c r="D170" s="26"/>
      <x:c r="E170" s="26"/>
      <x:c r="F170" s="26"/>
    </x:row>
    <x:row r="171">
      <x:c r="A171" s="26"/>
      <x:c r="B171" s="26"/>
      <x:c r="C171" s="26"/>
      <x:c r="D171" s="26"/>
      <x:c r="E171" s="26"/>
      <x:c r="F171" s="26"/>
    </x:row>
    <x:row r="172">
      <x:c r="A172" s="26"/>
      <x:c r="B172" s="26"/>
      <x:c r="C172" s="26"/>
      <x:c r="D172" s="26"/>
      <x:c r="E172" s="26"/>
      <x:c r="F172" s="26"/>
    </x:row>
    <x:row r="173">
      <x:c r="A173" s="26"/>
      <x:c r="B173" s="26"/>
      <x:c r="C173" s="26"/>
      <x:c r="D173" s="26"/>
      <x:c r="E173" s="26"/>
      <x:c r="F173" s="26"/>
    </x:row>
    <x:row r="174">
      <x:c r="A174" s="26"/>
      <x:c r="B174" s="26"/>
      <x:c r="C174" s="26"/>
      <x:c r="D174" s="26"/>
      <x:c r="E174" s="26"/>
      <x:c r="F174" s="26"/>
    </x:row>
    <x:row r="175">
      <x:c r="A175" s="26"/>
      <x:c r="B175" s="26"/>
      <x:c r="C175" s="26"/>
      <x:c r="D175" s="26"/>
      <x:c r="E175" s="26"/>
      <x:c r="F175" s="26"/>
    </x:row>
    <x:row r="176">
      <x:c r="A176" s="26"/>
      <x:c r="B176" s="26"/>
      <x:c r="C176" s="26"/>
      <x:c r="D176" s="26"/>
      <x:c r="E176" s="26"/>
      <x:c r="F176" s="26"/>
    </x:row>
    <x:row r="177">
      <x:c r="A177" s="26"/>
      <x:c r="B177" s="26"/>
      <x:c r="C177" s="26"/>
      <x:c r="D177" s="26"/>
      <x:c r="E177" s="26"/>
      <x:c r="F177" s="26"/>
    </x:row>
    <x:row r="178">
      <x:c r="A178" s="26"/>
      <x:c r="B178" s="26"/>
      <x:c r="C178" s="26"/>
      <x:c r="D178" s="26"/>
      <x:c r="E178" s="26"/>
      <x:c r="F178" s="26"/>
    </x:row>
    <x:row r="179">
      <x:c r="A179" s="26"/>
      <x:c r="B179" s="26"/>
      <x:c r="C179" s="26"/>
      <x:c r="D179" s="26"/>
      <x:c r="E179" s="26"/>
      <x:c r="F179" s="26"/>
    </x:row>
    <x:row r="180">
      <x:c r="A180" s="26"/>
      <x:c r="B180" s="26"/>
      <x:c r="C180" s="26"/>
      <x:c r="D180" s="26"/>
      <x:c r="E180" s="26"/>
      <x:c r="F180" s="26"/>
    </x:row>
    <x:row r="181">
      <x:c r="A181" s="26"/>
      <x:c r="B181" s="26"/>
      <x:c r="C181" s="26"/>
      <x:c r="D181" s="26"/>
      <x:c r="E181" s="26"/>
      <x:c r="F181" s="26"/>
    </x:row>
    <x:row r="182">
      <x:c r="A182" s="26"/>
      <x:c r="B182" s="26"/>
      <x:c r="C182" s="26"/>
      <x:c r="D182" s="26"/>
      <x:c r="E182" s="26"/>
      <x:c r="F182" s="26"/>
    </x:row>
    <x:row r="183">
      <x:c r="A183" s="26"/>
      <x:c r="B183" s="26"/>
      <x:c r="C183" s="26"/>
      <x:c r="D183" s="26"/>
      <x:c r="E183" s="26"/>
      <x:c r="F183" s="26"/>
    </x:row>
    <x:row r="184">
      <x:c r="A184" s="26"/>
      <x:c r="B184" s="26"/>
      <x:c r="C184" s="26"/>
      <x:c r="D184" s="26"/>
      <x:c r="E184" s="26"/>
      <x:c r="F184" s="26"/>
    </x:row>
    <x:row r="185">
      <x:c r="A185" s="26"/>
      <x:c r="B185" s="26"/>
      <x:c r="C185" s="26"/>
      <x:c r="D185" s="26"/>
      <x:c r="E185" s="26"/>
      <x:c r="F185" s="26"/>
    </x:row>
    <x:row r="186">
      <x:c r="A186" s="26"/>
      <x:c r="B186" s="26"/>
      <x:c r="C186" s="26"/>
      <x:c r="D186" s="26"/>
      <x:c r="E186" s="26"/>
      <x:c r="F186" s="26"/>
    </x:row>
    <x:row r="187">
      <x:c r="A187" s="26"/>
      <x:c r="B187" s="26"/>
      <x:c r="C187" s="26"/>
      <x:c r="D187" s="26"/>
      <x:c r="E187" s="26"/>
      <x:c r="F187" s="26"/>
    </x:row>
    <x:row r="188">
      <x:c r="A188" s="26"/>
      <x:c r="B188" s="26"/>
      <x:c r="C188" s="26"/>
      <x:c r="D188" s="26"/>
      <x:c r="E188" s="26"/>
      <x:c r="F188" s="26"/>
    </x:row>
    <x:row r="189">
      <x:c r="A189" s="26"/>
      <x:c r="B189" s="26"/>
      <x:c r="C189" s="26"/>
      <x:c r="D189" s="26"/>
      <x:c r="E189" s="26"/>
      <x:c r="F189" s="26"/>
    </x:row>
    <x:row r="190">
      <x:c r="A190" s="26"/>
      <x:c r="B190" s="26"/>
      <x:c r="C190" s="26"/>
      <x:c r="D190" s="26"/>
      <x:c r="E190" s="26"/>
      <x:c r="F190" s="26"/>
    </x:row>
    <x:row r="191">
      <x:c r="A191" s="26"/>
      <x:c r="B191" s="26"/>
      <x:c r="C191" s="26"/>
      <x:c r="D191" s="26"/>
      <x:c r="E191" s="26"/>
      <x:c r="F191" s="26"/>
    </x:row>
    <x:row r="192">
      <x:c r="A192" s="26"/>
      <x:c r="B192" s="26"/>
      <x:c r="C192" s="26"/>
      <x:c r="D192" s="26"/>
      <x:c r="E192" s="26"/>
      <x:c r="F192" s="26"/>
    </x:row>
    <x:row r="193">
      <x:c r="A193" s="26"/>
      <x:c r="B193" s="26"/>
      <x:c r="C193" s="26"/>
      <x:c r="D193" s="26"/>
      <x:c r="E193" s="26"/>
      <x:c r="F193" s="26"/>
    </x:row>
    <x:row r="194">
      <x:c r="A194" s="26"/>
      <x:c r="B194" s="26"/>
      <x:c r="C194" s="26"/>
      <x:c r="D194" s="26"/>
      <x:c r="E194" s="26"/>
      <x:c r="F194" s="26"/>
    </x:row>
    <x:row r="195">
      <x:c r="A195" s="26"/>
      <x:c r="B195" s="26"/>
      <x:c r="C195" s="26"/>
      <x:c r="D195" s="26"/>
      <x:c r="E195" s="26"/>
      <x:c r="F195" s="26"/>
    </x:row>
    <x:row r="196">
      <x:c r="A196" s="26"/>
      <x:c r="B196" s="26"/>
      <x:c r="C196" s="26"/>
      <x:c r="D196" s="26"/>
      <x:c r="E196" s="26"/>
      <x:c r="F196" s="26"/>
    </x:row>
    <x:row r="197">
      <x:c r="A197" s="26"/>
      <x:c r="B197" s="26"/>
      <x:c r="C197" s="26"/>
      <x:c r="D197" s="26"/>
      <x:c r="E197" s="26"/>
      <x:c r="F197" s="26"/>
    </x:row>
    <x:row r="198">
      <x:c r="A198" s="26"/>
      <x:c r="B198" s="26"/>
      <x:c r="C198" s="26"/>
      <x:c r="D198" s="26"/>
      <x:c r="E198" s="26"/>
      <x:c r="F198" s="26"/>
    </x:row>
    <x:row r="199">
      <x:c r="A199" s="26"/>
      <x:c r="B199" s="26"/>
      <x:c r="C199" s="26"/>
      <x:c r="D199" s="26"/>
      <x:c r="E199" s="26"/>
      <x:c r="F199" s="26"/>
    </x:row>
    <x:row r="200">
      <x:c r="A200" s="26"/>
      <x:c r="B200" s="26"/>
      <x:c r="C200" s="26"/>
      <x:c r="D200" s="26"/>
      <x:c r="E200" s="26"/>
      <x:c r="F200" s="26"/>
    </x:row>
    <x:row r="201">
      <x:c r="A201" s="26"/>
      <x:c r="B201" s="26"/>
      <x:c r="C201" s="26"/>
      <x:c r="D201" s="26"/>
      <x:c r="E201" s="26"/>
      <x:c r="F201" s="26"/>
    </x:row>
    <x:row r="202">
      <x:c r="A202" s="26"/>
      <x:c r="B202" s="26"/>
      <x:c r="C202" s="26"/>
      <x:c r="D202" s="26"/>
      <x:c r="E202" s="26"/>
      <x:c r="F202" s="26"/>
    </x:row>
    <x:row r="203">
      <x:c r="A203" s="26"/>
      <x:c r="B203" s="26"/>
      <x:c r="C203" s="26"/>
      <x:c r="D203" s="26"/>
      <x:c r="E203" s="26"/>
      <x:c r="F203" s="26"/>
    </x:row>
  </x:sheetData>
  <x:mergeCells>
    <x:mergeCell ref="A1:F1"/>
  </x:mergeCells>
  <x:pageMargins left="0.7" right="0.7" top="0.75" bottom="0.75" header="0.3" footer="0.3"/>
  <x:tableParts count="1">
    <x:tablePart xmlns:r="http://schemas.openxmlformats.org/officeDocument/2006/relationships" r:id="R12bc41304bc94dc7"/>
  </x:tableParts>
</x:worksheet>
</file>

<file path=xl/worksheets/sheet5.xml><?xml version="1.0" encoding="utf-8"?>
<x:worksheet xmlns:x="http://schemas.openxmlformats.org/spreadsheetml/2006/main">
  <x:sheetViews>
    <x:sheetView showGridLines="0" workbookViewId="0"/>
  </x:sheetViews>
  <x:sheetFormatPr defaultRowHeight="15"/>
  <x:cols>
    <x:col min="1" max="1" width="23.75" hidden="0" customWidth="1"/>
    <x:col min="2" max="2" width="23.75" hidden="0" customWidth="1"/>
    <x:col min="3" max="3" width="65" hidden="0" customWidth="1"/>
    <x:col min="4" max="4" width="31.25" hidden="0" customWidth="1"/>
  </x:cols>
  <x:sheetData>
    <x:row r="1" ht="25.5" customHeight="1">
      <x:c r="A1" s="11" t="str">
        <x:v>Email and Message Templates</x:v>
      </x:c>
      <x:c r="B1" s="11"/>
      <x:c r="C1" s="11"/>
      <x:c r="D1" s="11"/>
    </x:row>
    <x:row r="2">
      <x:c r="A2" s="12"/>
      <x:c r="B2" s="12"/>
      <x:c r="C2" s="12"/>
      <x:c r="D2" s="12"/>
    </x:row>
    <x:row r="3">
      <x:c r="A3" s="13" t="str">
        <x:v>Use Case</x:v>
      </x:c>
      <x:c r="B3" s="13" t="str">
        <x:v>Subject / Heading</x:v>
      </x:c>
      <x:c r="C3" s="13" t="str">
        <x:v>Template</x:v>
      </x:c>
      <x:c r="D3" s="13" t="str">
        <x:v>Personalization Checklist</x:v>
      </x:c>
    </x:row>
    <x:row r="4">
      <x:c r="A4" s="26" t="str">
        <x:v>Recruiter intro</x:v>
      </x:c>
      <x:c r="B4" s="26" t="str">
        <x:v>Interested in [Role] at [Company]</x:v>
      </x:c>
      <x:c r="C4" s="26" t="str">
        <x:v>Hi [Name],
I saw the [Role] opening at [Company] and wanted to reach out. My background in [Skill 1], [Skill 2], and [Relevant Experience] looks aligned with the role. I would be glad to share more if useful.
Best,
[Your Name]</x:v>
      </x:c>
      <x:c r="D4" s="26" t="str">
        <x:v>Name, role, company, 2-3 skills, resume link</x:v>
      </x:c>
    </x:row>
    <x:row r="5">
      <x:c r="A5" s="26" t="str">
        <x:v>Application follow-up</x:v>
      </x:c>
      <x:c r="B5" s="26" t="str">
        <x:v>Following up on [Role] application</x:v>
      </x:c>
      <x:c r="C5" s="26" t="str">
        <x:v>Hi [Name],
I applied for the [Role] position on [Date] and wanted to express my continued interest. I am particularly excited about [Company Reason] and believe my experience with [Relevant Strength] would be useful in this role.
Best,
[Your Name]</x:v>
      </x:c>
      <x:c r="D5" s="26" t="str">
        <x:v>Applied date, company reason, relevant strength</x:v>
      </x:c>
    </x:row>
    <x:row r="6">
      <x:c r="A6" s="26" t="str">
        <x:v>Interview thank-you</x:v>
      </x:c>
      <x:c r="B6" s="26" t="str">
        <x:v>Thank you</x:v>
      </x:c>
      <x:c r="C6" s="26" t="str">
        <x:v>Hi [Name],
Thank you for taking the time to speak with me about the [Role] position. I enjoyed learning more about [Conversation Detail] and remain very interested in the opportunity.
Best,
[Your Name]</x:v>
      </x:c>
      <x:c r="D6" s="26" t="str">
        <x:v>Interviewer name, role, conversation detail</x:v>
      </x:c>
    </x:row>
    <x:row r="7">
      <x:c r="A7" s="26" t="str">
        <x:v>Networking</x:v>
      </x:c>
      <x:c r="B7" s="26" t="str">
        <x:v>Quick question about [Company]</x:v>
      </x:c>
      <x:c r="C7" s="26" t="str">
        <x:v>Hi [Name],
I am exploring opportunities at [Company] and noticed your work in [Team/Area]. If you are open to it, I would appreciate any quick advice on what the team values in candidates.
Best,
[Your Name]</x:v>
      </x:c>
      <x:c r="D7" s="26" t="str">
        <x:v>Person, team, reason for asking</x:v>
      </x:c>
    </x:row>
    <x:row r="8">
      <x:c r="A8" s="26" t="str">
        <x:v>Short cover letter</x:v>
      </x:c>
      <x:c r="B8" s="26" t="str">
        <x:v>[Role] application</x:v>
      </x:c>
      <x:c r="C8" s="26" t="str">
        <x:v>Dear Hiring Team,
I am excited to apply for the [Role] position at [Company]. My experience in [Relevant Experience], plus strengths in [Skill 1] and [Skill 2], align well with the role. I would welcome the opportunity to discuss how I can contribute.
Kind regards,
[Your Name]</x:v>
      </x:c>
      <x:c r="D8" s="26" t="str">
        <x:v>Company, role, evidence, skills</x:v>
      </x:c>
    </x:row>
    <x:row r="9">
      <x:c r="A9" s="26" t="str">
        <x:v>Withdrawal</x:v>
      </x:c>
      <x:c r="B9" s="26" t="str">
        <x:v>Withdrawing application for [Role]</x:v>
      </x:c>
      <x:c r="C9" s="26" t="str">
        <x:v>Hi [Name],
Thank you for considering my application for the [Role] position. I have decided to withdraw from the process at this time, but I appreciate your time and consideration.
Best,
[Your Name]</x:v>
      </x:c>
      <x:c r="D9" s="26" t="str">
        <x:v>Name, role</x:v>
      </x:c>
    </x:row>
    <x:row r="10">
      <x:c r="A10" s="26"/>
      <x:c r="B10" s="26"/>
      <x:c r="C10" s="26"/>
      <x:c r="D10" s="26"/>
    </x:row>
    <x:row r="11">
      <x:c r="A11" s="26"/>
      <x:c r="B11" s="26"/>
      <x:c r="C11" s="26"/>
      <x:c r="D11" s="26"/>
    </x:row>
    <x:row r="12">
      <x:c r="A12" s="26"/>
      <x:c r="B12" s="26"/>
      <x:c r="C12" s="26"/>
      <x:c r="D12" s="26"/>
    </x:row>
    <x:row r="13">
      <x:c r="A13" s="26"/>
      <x:c r="B13" s="26"/>
      <x:c r="C13" s="26"/>
      <x:c r="D13" s="26"/>
    </x:row>
    <x:row r="14">
      <x:c r="A14" s="26"/>
      <x:c r="B14" s="26"/>
      <x:c r="C14" s="26"/>
      <x:c r="D14" s="26"/>
    </x:row>
    <x:row r="15">
      <x:c r="A15" s="26"/>
      <x:c r="B15" s="26"/>
      <x:c r="C15" s="26"/>
      <x:c r="D15" s="26"/>
    </x:row>
    <x:row r="16">
      <x:c r="A16" s="26"/>
      <x:c r="B16" s="26"/>
      <x:c r="C16" s="26"/>
      <x:c r="D16" s="26"/>
    </x:row>
    <x:row r="17">
      <x:c r="A17" s="26"/>
      <x:c r="B17" s="26"/>
      <x:c r="C17" s="26"/>
      <x:c r="D17" s="26"/>
    </x:row>
    <x:row r="18">
      <x:c r="A18" s="26"/>
      <x:c r="B18" s="26"/>
      <x:c r="C18" s="26"/>
      <x:c r="D18" s="26"/>
    </x:row>
    <x:row r="19">
      <x:c r="A19" s="26"/>
      <x:c r="B19" s="26"/>
      <x:c r="C19" s="26"/>
      <x:c r="D19" s="26"/>
    </x:row>
    <x:row r="20">
      <x:c r="A20" s="26"/>
      <x:c r="B20" s="26"/>
      <x:c r="C20" s="26"/>
      <x:c r="D20" s="26"/>
    </x:row>
    <x:row r="21">
      <x:c r="A21" s="26"/>
      <x:c r="B21" s="26"/>
      <x:c r="C21" s="26"/>
      <x:c r="D21" s="26"/>
    </x:row>
    <x:row r="22">
      <x:c r="A22" s="26"/>
      <x:c r="B22" s="26"/>
      <x:c r="C22" s="26"/>
      <x:c r="D22" s="26"/>
    </x:row>
    <x:row r="23">
      <x:c r="A23" s="26"/>
      <x:c r="B23" s="26"/>
      <x:c r="C23" s="26"/>
      <x:c r="D23" s="26"/>
    </x:row>
    <x:row r="24">
      <x:c r="A24" s="26"/>
      <x:c r="B24" s="26"/>
      <x:c r="C24" s="26"/>
      <x:c r="D24" s="26"/>
    </x:row>
    <x:row r="25">
      <x:c r="A25" s="26"/>
      <x:c r="B25" s="26"/>
      <x:c r="C25" s="26"/>
      <x:c r="D25" s="26"/>
    </x:row>
    <x:row r="26">
      <x:c r="A26" s="26"/>
      <x:c r="B26" s="26"/>
      <x:c r="C26" s="26"/>
      <x:c r="D26" s="26"/>
    </x:row>
    <x:row r="27">
      <x:c r="A27" s="26"/>
      <x:c r="B27" s="26"/>
      <x:c r="C27" s="26"/>
      <x:c r="D27" s="26"/>
    </x:row>
    <x:row r="28">
      <x:c r="A28" s="26"/>
      <x:c r="B28" s="26"/>
      <x:c r="C28" s="26"/>
      <x:c r="D28" s="26"/>
    </x:row>
    <x:row r="29">
      <x:c r="A29" s="26"/>
      <x:c r="B29" s="26"/>
      <x:c r="C29" s="26"/>
      <x:c r="D29" s="26"/>
    </x:row>
    <x:row r="30">
      <x:c r="A30" s="26"/>
      <x:c r="B30" s="26"/>
      <x:c r="C30" s="26"/>
      <x:c r="D30" s="26"/>
    </x:row>
    <x:row r="31">
      <x:c r="A31" s="26"/>
      <x:c r="B31" s="26"/>
      <x:c r="C31" s="26"/>
      <x:c r="D31" s="26"/>
    </x:row>
    <x:row r="32">
      <x:c r="A32" s="26"/>
      <x:c r="B32" s="26"/>
      <x:c r="C32" s="26"/>
      <x:c r="D32" s="26"/>
    </x:row>
    <x:row r="33">
      <x:c r="A33" s="26"/>
      <x:c r="B33" s="26"/>
      <x:c r="C33" s="26"/>
      <x:c r="D33" s="26"/>
    </x:row>
    <x:row r="34">
      <x:c r="A34" s="26"/>
      <x:c r="B34" s="26"/>
      <x:c r="C34" s="26"/>
      <x:c r="D34" s="26"/>
    </x:row>
    <x:row r="35">
      <x:c r="A35" s="26"/>
      <x:c r="B35" s="26"/>
      <x:c r="C35" s="26"/>
      <x:c r="D35" s="26"/>
    </x:row>
    <x:row r="36">
      <x:c r="A36" s="26"/>
      <x:c r="B36" s="26"/>
      <x:c r="C36" s="26"/>
      <x:c r="D36" s="26"/>
    </x:row>
    <x:row r="37">
      <x:c r="A37" s="26"/>
      <x:c r="B37" s="26"/>
      <x:c r="C37" s="26"/>
      <x:c r="D37" s="26"/>
    </x:row>
    <x:row r="38">
      <x:c r="A38" s="26"/>
      <x:c r="B38" s="26"/>
      <x:c r="C38" s="26"/>
      <x:c r="D38" s="26"/>
    </x:row>
    <x:row r="39">
      <x:c r="A39" s="26"/>
      <x:c r="B39" s="26"/>
      <x:c r="C39" s="26"/>
      <x:c r="D39" s="26"/>
    </x:row>
    <x:row r="40">
      <x:c r="A40" s="26"/>
      <x:c r="B40" s="26"/>
      <x:c r="C40" s="26"/>
      <x:c r="D40" s="26"/>
    </x:row>
  </x:sheetData>
  <x:mergeCells>
    <x:mergeCell ref="A1:D1"/>
  </x:mergeCells>
  <x:pageMargins left="0.7" right="0.7" top="0.75" bottom="0.75" header="0.3" footer="0.3"/>
  <x:tableParts count="1">
    <x:tablePart xmlns:r="http://schemas.openxmlformats.org/officeDocument/2006/relationships" r:id="Rc2adb1959833441c"/>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8.1299991607666" hidden="0" customWidth="1"/>
    <x:col min="2" max="2" width="18.1299991607666" hidden="0" customWidth="1"/>
    <x:col min="3" max="3" width="18.1299991607666" hidden="0" customWidth="1"/>
    <x:col min="4" max="4" width="18.1299991607666" hidden="0" customWidth="1"/>
    <x:col min="5" max="5" width="18.1299991607666" hidden="0" customWidth="1"/>
  </x:cols>
  <x:sheetData>
    <x:row r="1" ht="25.5" customHeight="1">
      <x:c r="A1" s="11" t="str">
        <x:v>Job Application Automation Settings</x:v>
      </x:c>
      <x:c r="B1" s="11"/>
      <x:c r="C1" s="11"/>
      <x:c r="D1" s="11"/>
      <x:c r="E1" s="12"/>
    </x:row>
    <x:row r="2">
      <x:c r="A2" s="12"/>
      <x:c r="B2" s="12"/>
      <x:c r="C2" s="12"/>
      <x:c r="D2" s="12"/>
      <x:c r="E2" s="12"/>
    </x:row>
    <x:row r="3">
      <x:c r="A3" s="13" t="str">
        <x:v>Status Options</x:v>
      </x:c>
      <x:c r="B3" s="13" t="str">
        <x:v>Priority Options</x:v>
      </x:c>
      <x:c r="C3" s="12"/>
      <x:c r="D3" s="13" t="str">
        <x:v>Default Scoring Weights</x:v>
      </x:c>
      <x:c r="E3" s="13" t="str">
        <x:v>Weight</x:v>
      </x:c>
    </x:row>
    <x:row r="4">
      <x:c r="A4" s="12" t="str">
        <x:v>Saved</x:v>
      </x:c>
      <x:c r="B4" s="12" t="str">
        <x:v>High</x:v>
      </x:c>
      <x:c r="C4" s="12"/>
      <x:c r="D4" s="12" t="str">
        <x:v>Skills match</x:v>
      </x:c>
      <x:c r="E4" s="14" t="n">
        <x:v>30</x:v>
      </x:c>
    </x:row>
    <x:row r="5">
      <x:c r="A5" s="12" t="str">
        <x:v>Tailor Resume</x:v>
      </x:c>
      <x:c r="B5" s="12" t="str">
        <x:v>Medium</x:v>
      </x:c>
      <x:c r="C5" s="12"/>
      <x:c r="D5" s="12" t="str">
        <x:v>Experience match</x:v>
      </x:c>
      <x:c r="E5" s="14" t="n">
        <x:v>20</x:v>
      </x:c>
    </x:row>
    <x:row r="6">
      <x:c r="A6" s="12" t="str">
        <x:v>Ready to Apply</x:v>
      </x:c>
      <x:c r="B6" s="12" t="str">
        <x:v>Low</x:v>
      </x:c>
      <x:c r="C6" s="12"/>
      <x:c r="D6" s="12" t="str">
        <x:v>Location/work model</x:v>
      </x:c>
      <x:c r="E6" s="14" t="n">
        <x:v>15</x:v>
      </x:c>
    </x:row>
    <x:row r="7">
      <x:c r="A7" s="12" t="str">
        <x:v>Applied</x:v>
      </x:c>
      <x:c r="B7" s="12" t="str"/>
      <x:c r="C7" s="12"/>
      <x:c r="D7" s="12" t="str">
        <x:v>Salary alignment</x:v>
      </x:c>
      <x:c r="E7" s="14" t="n">
        <x:v>15</x:v>
      </x:c>
    </x:row>
    <x:row r="8">
      <x:c r="A8" s="12" t="str">
        <x:v>Interviewing</x:v>
      </x:c>
      <x:c r="B8" s="12" t="str"/>
      <x:c r="C8" s="12"/>
      <x:c r="D8" s="12" t="str">
        <x:v>Company interest</x:v>
      </x:c>
      <x:c r="E8" s="14" t="n">
        <x:v>10</x:v>
      </x:c>
    </x:row>
    <x:row r="9">
      <x:c r="A9" s="12" t="str">
        <x:v>Offer</x:v>
      </x:c>
      <x:c r="B9" s="12" t="str"/>
      <x:c r="C9" s="12"/>
      <x:c r="D9" s="12" t="str">
        <x:v>Application effort</x:v>
      </x:c>
      <x:c r="E9" s="14" t="n">
        <x:v>10</x:v>
      </x:c>
    </x:row>
    <x:row r="10">
      <x:c r="A10" s="12" t="str">
        <x:v>Rejected</x:v>
      </x:c>
      <x:c r="B10" s="12" t="str"/>
      <x:c r="C10" s="12"/>
      <x:c r="D10" s="12" t="str">
        <x:v>Total</x:v>
      </x:c>
      <x:c r="E10" s="14" t="n">
        <x:f>SUM(E4:E9)</x:f>
        <x:v>100</x:v>
      </x:c>
    </x:row>
    <x:row r="11">
      <x:c r="A11" s="12" t="str">
        <x:v>Withdrawn</x:v>
      </x:c>
      <x:c r="B11" s="12" t="str"/>
      <x:c r="C11" s="12"/>
      <x:c r="D11" s="12"/>
      <x:c r="E11" s="12"/>
    </x:row>
    <x:row r="12">
      <x:c r="A12" s="12" t="str">
        <x:v>Follow Up</x:v>
      </x:c>
      <x:c r="B12" s="12" t="str"/>
      <x:c r="C12" s="12"/>
      <x:c r="D12" s="12"/>
      <x:c r="E12" s="12"/>
    </x:row>
    <x:row r="13">
      <x:c r="A13" s="12"/>
      <x:c r="B13" s="12"/>
      <x:c r="C13" s="12"/>
      <x:c r="D13" s="12"/>
      <x:c r="E13" s="12"/>
    </x:row>
    <x:row r="14">
      <x:c r="A14" s="12"/>
      <x:c r="B14" s="12"/>
      <x:c r="C14" s="12"/>
      <x:c r="D14" s="12"/>
      <x:c r="E14" s="12"/>
    </x:row>
    <x:row r="15">
      <x:c r="A15" s="12"/>
      <x:c r="B15" s="12"/>
      <x:c r="C15" s="12"/>
      <x:c r="D15" s="12"/>
      <x:c r="E15" s="12"/>
    </x:row>
    <x:row r="16">
      <x:c r="A16" s="12"/>
      <x:c r="B16" s="12"/>
      <x:c r="C16" s="12"/>
      <x:c r="D16" s="12"/>
      <x:c r="E16" s="12"/>
    </x:row>
    <x:row r="17">
      <x:c r="A17" s="12"/>
      <x:c r="B17" s="12"/>
      <x:c r="C17" s="12"/>
      <x:c r="D17" s="12"/>
      <x:c r="E17" s="12"/>
    </x:row>
    <x:row r="18">
      <x:c r="A18" s="12"/>
      <x:c r="B18" s="12"/>
      <x:c r="C18" s="12"/>
      <x:c r="D18" s="12"/>
      <x:c r="E18" s="12"/>
    </x:row>
    <x:row r="19">
      <x:c r="A19" s="12"/>
      <x:c r="B19" s="12"/>
      <x:c r="C19" s="12"/>
      <x:c r="D19" s="12"/>
      <x:c r="E19" s="12"/>
    </x:row>
    <x:row r="20">
      <x:c r="A20" s="12"/>
      <x:c r="B20" s="12"/>
      <x:c r="C20" s="12"/>
      <x:c r="D20" s="12"/>
      <x:c r="E20" s="12"/>
    </x:row>
  </x:sheetData>
  <x:mergeCells>
    <x:mergeCell ref="A1:D1"/>
  </x:mergeCells>
  <x:pageMargins left="0.7" right="0.7" top="0.75" bottom="0.75" header="0.3" footer="0.3"/>
</x:worksheet>
</file>